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 Final" sheetId="1" state="visible" r:id="rId3"/>
    <sheet name="Dashboard" sheetId="2" state="visible" r:id="rId4"/>
    <sheet name="Detalle_Productos" sheetId="3" state="visible" r:id="rId5"/>
    <sheet name="Configuración" sheetId="4" state="visible" r:id="rId6"/>
    <sheet name="Datos_Crudos" sheetId="5" state="visible" r:id="rId7"/>
    <sheet name="Aux_Dashboard" sheetId="6" state="hidden" r:id="rId8"/>
  </sheets>
  <definedNames>
    <definedName function="false" hidden="false" localSheetId="1" name="_xlnm.Print_Area" vbProcedure="false">Dashboard!$A$1:$M$26</definedName>
    <definedName function="false" hidden="false" name="Celda_Vinculo_Mes" vbProcedure="false">Dashboard!$B$3</definedName>
    <definedName function="false" hidden="false" name="Inicio_Config" vbProcedure="false">Configuración!$A$1</definedName>
    <definedName function="false" hidden="false" name="Inicio_Dash" vbProcedure="false">Dashboard!$A$1</definedName>
    <definedName function="false" hidden="false" name="Inicio_Datos" vbProcedure="false">Datos_Crudos!$A$1</definedName>
    <definedName function="false" hidden="false" name="Inicio_Detalle" vbProcedure="false">Detalle_Productos!$A$1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<sst xmlns="http://schemas.openxmlformats.org/spreadsheetml/2006/main" count="3766" uniqueCount="223">
  <si>
    <t xml:space="preserve">DASHBOARD EJECUTIVO DE VENTAS</t>
  </si>
  <si>
    <t xml:space="preserve">Sistema de BI en Excel · Retail
Fuente: Datos_Crudos · 360 operaciones</t>
  </si>
  <si>
    <t xml:space="preserve">VENTAS NETAS</t>
  </si>
  <si>
    <t xml:space="preserve">% MARGEN</t>
  </si>
  <si>
    <t xml:space="preserve">UNIDADES VENDIDAS</t>
  </si>
  <si>
    <t xml:space="preserve">TICKET PROM. POR UNIDAD</t>
  </si>
  <si>
    <t xml:space="preserve">Mes</t>
  </si>
  <si>
    <t xml:space="preserve">Región</t>
  </si>
  <si>
    <t xml:space="preserve">Categoría</t>
  </si>
  <si>
    <t xml:space="preserve">Estado del pedido</t>
  </si>
  <si>
    <t xml:space="preserve">(Todos)</t>
  </si>
  <si>
    <t xml:space="preserve">Segmentadores: filtran los KPIs y los gráficos (cada gráfico no se filtra por su propia dimensión, para mantener visible la comparación). Elegí "(Todos)" para ver el total.</t>
  </si>
  <si>
    <t xml:space="preserve">Ventas vs. % de margen por producto (casos atípicos)</t>
  </si>
  <si>
    <t xml:space="preserve">Regiones ordenadas por ventas anuales.</t>
  </si>
  <si>
    <t xml:space="preserve">NOTAS DE ANÁLISIS (cifras anuales 2024, sin filtros)</t>
  </si>
  <si>
    <t xml:space="preserve">1) Tecnología concentra el 59% de las ventas netas 2024 ($586,1 M sobre $987,6 M); agrupa 6 de los 12 productos del catálogo.</t>
  </si>
  <si>
    <t xml:space="preserve">2) El 2º semestre supera al 1º en un 26%, con picos en julio ($125,0 M) y diciembre ($115,4 M) y un mínimo en abril ($50,2 M).</t>
  </si>
  <si>
    <t xml:space="preserve">3) Centro lidera las ventas por región (20% del total), mientras que Norte y CABA logran el mejor % de margen (≈39%).</t>
  </si>
  <si>
    <t xml:space="preserve">Limitaciones y lectura sugerida (revisión con IA – abogado del diablo):</t>
  </si>
  <si>
    <t xml:space="preserve">• Las cifras incluyen pedidos en todos los estados: los anulados y devueltos suman cerca del 26% del monto, por lo que la venta efectiva es menor. Usá el segmentador "Estado del pedido" (agregado a partir de esta revisión) para ver solo lo completado.</t>
  </si>
  <si>
    <t xml:space="preserve">• Hay un solo año de datos: el mayor nivel del 2º semestre puede responder a estacionalidad y no a una tendencia; no conviene extrapolarlo.</t>
  </si>
  <si>
    <t xml:space="preserve">• La participación por categoría y región no ajusta por cantidad de productos ni de operaciones: se recomienda leerla junto al detalle por producto.</t>
  </si>
  <si>
    <t xml:space="preserve">Nota técnica: los segmentadores están implementados como listas desplegables vinculadas a los cálculos (mismo criterio que el selector de mes del Dashboard original), conectadas a los 4 KPIs y a los 4 gráficos.</t>
  </si>
  <si>
    <t xml:space="preserve">Reporte de Ventas Trimestral</t>
  </si>
  <si>
    <t xml:space="preserve">Ventas Netas</t>
  </si>
  <si>
    <t xml:space="preserve">El selector de mes funciona como sustituto práctico del segmentador para la práctica docente.</t>
  </si>
  <si>
    <t xml:space="preserve">Detalle por Producto</t>
  </si>
  <si>
    <t xml:space="preserve">Producto</t>
  </si>
  <si>
    <t xml:space="preserve">Unidades</t>
  </si>
  <si>
    <t xml:space="preserve">Ventas_Netas</t>
  </si>
  <si>
    <t xml:space="preserve">Margen</t>
  </si>
  <si>
    <t xml:space="preserve">Ticket_Promedio</t>
  </si>
  <si>
    <t xml:space="preserve">Notebook 14</t>
  </si>
  <si>
    <t xml:space="preserve">Tecnología</t>
  </si>
  <si>
    <t xml:space="preserve">Mouse Inalámbrico</t>
  </si>
  <si>
    <t xml:space="preserve">Teclado Mecánico</t>
  </si>
  <si>
    <t xml:space="preserve">Monitor 24</t>
  </si>
  <si>
    <t xml:space="preserve">Silla Ergonómica</t>
  </si>
  <si>
    <t xml:space="preserve">Oficina</t>
  </si>
  <si>
    <t xml:space="preserve">Escritorio Compacto</t>
  </si>
  <si>
    <t xml:space="preserve">Lámpara LED</t>
  </si>
  <si>
    <t xml:space="preserve">Hogar</t>
  </si>
  <si>
    <t xml:space="preserve">Auriculares BT</t>
  </si>
  <si>
    <t xml:space="preserve">Router WiFi</t>
  </si>
  <si>
    <t xml:space="preserve">Cafetera</t>
  </si>
  <si>
    <t xml:space="preserve">Impresora</t>
  </si>
  <si>
    <t xml:space="preserve">Tablet 10</t>
  </si>
  <si>
    <t xml:space="preserve">Sugerencia docente: pedir al estudiante que clasifique categorías inconsistentes y compare un producto contra el promedio del mes.</t>
  </si>
  <si>
    <t xml:space="preserve">Configuración y Resumen Mensual</t>
  </si>
  <si>
    <t xml:space="preserve">Paleta sugerida</t>
  </si>
  <si>
    <t xml:space="preserve">Enero</t>
  </si>
  <si>
    <t xml:space="preserve">Primario</t>
  </si>
  <si>
    <t xml:space="preserve">#0F766E</t>
  </si>
  <si>
    <t xml:space="preserve">Febrero</t>
  </si>
  <si>
    <t xml:space="preserve">Secundario</t>
  </si>
  <si>
    <t xml:space="preserve">#2563EB</t>
  </si>
  <si>
    <t xml:space="preserve">Marzo</t>
  </si>
  <si>
    <t xml:space="preserve">Acento</t>
  </si>
  <si>
    <t xml:space="preserve">#F59E0B</t>
  </si>
  <si>
    <t xml:space="preserve">Abril</t>
  </si>
  <si>
    <t xml:space="preserve">Grises</t>
  </si>
  <si>
    <t xml:space="preserve">#6B7280 / #E5E7EB</t>
  </si>
  <si>
    <t xml:space="preserve">Mayo</t>
  </si>
  <si>
    <t xml:space="preserve">Nota</t>
  </si>
  <si>
    <t xml:space="preserve">Usar Mes como lista para el selector del dashboard.</t>
  </si>
  <si>
    <t xml:space="preserve">Junio</t>
  </si>
  <si>
    <t xml:space="preserve">Julio</t>
  </si>
  <si>
    <t xml:space="preserve">Selector sugerido</t>
  </si>
  <si>
    <t xml:space="preserve">B3 en Dashboard</t>
  </si>
  <si>
    <t xml:space="preserve">Agosto</t>
  </si>
  <si>
    <t xml:space="preserve">Comparativo</t>
  </si>
  <si>
    <t xml:space="preserve">Variación vs referencia</t>
  </si>
  <si>
    <t xml:space="preserve">Septiembre</t>
  </si>
  <si>
    <t xml:space="preserve">Impresión</t>
  </si>
  <si>
    <t xml:space="preserve">Horizontal / una página de ancho</t>
  </si>
  <si>
    <t xml:space="preserve">Octubre</t>
  </si>
  <si>
    <t xml:space="preserve">Noviembre</t>
  </si>
  <si>
    <t xml:space="preserve">Diciembre</t>
  </si>
  <si>
    <t xml:space="preserve">Fecha</t>
  </si>
  <si>
    <t xml:space="preserve">Año</t>
  </si>
  <si>
    <t xml:space="preserve">Trimestre</t>
  </si>
  <si>
    <t xml:space="preserve">Canal</t>
  </si>
  <si>
    <t xml:space="preserve">Cliente</t>
  </si>
  <si>
    <t xml:space="preserve">Subcategoría</t>
  </si>
  <si>
    <t xml:space="preserve">Vendedor</t>
  </si>
  <si>
    <t xml:space="preserve">Precio_Lista</t>
  </si>
  <si>
    <t xml:space="preserve">Descuento_%</t>
  </si>
  <si>
    <t xml:space="preserve">Costo_Unitario</t>
  </si>
  <si>
    <t xml:space="preserve">Ventas_Brutas</t>
  </si>
  <si>
    <t xml:space="preserve">Estado_Pedido</t>
  </si>
  <si>
    <t xml:space="preserve">Q1</t>
  </si>
  <si>
    <t xml:space="preserve">Norte</t>
  </si>
  <si>
    <t xml:space="preserve">market place</t>
  </si>
  <si>
    <t xml:space="preserve">Cliente 032</t>
  </si>
  <si>
    <t xml:space="preserve">OFICINA</t>
  </si>
  <si>
    <t xml:space="preserve">Periféricos</t>
  </si>
  <si>
    <t xml:space="preserve">Juan Pérez</t>
  </si>
  <si>
    <t xml:space="preserve">Completado</t>
  </si>
  <si>
    <t xml:space="preserve">CABA</t>
  </si>
  <si>
    <t xml:space="preserve">Ecommerce</t>
  </si>
  <si>
    <t xml:space="preserve">Cliente 036</t>
  </si>
  <si>
    <t xml:space="preserve">tecnologia</t>
  </si>
  <si>
    <t xml:space="preserve">Movilidad</t>
  </si>
  <si>
    <t xml:space="preserve">Nicolás Ríos</t>
  </si>
  <si>
    <t xml:space="preserve">Pendiente</t>
  </si>
  <si>
    <t xml:space="preserve">Patagonia</t>
  </si>
  <si>
    <t xml:space="preserve">ONLINE</t>
  </si>
  <si>
    <t xml:space="preserve">Cliente 059</t>
  </si>
  <si>
    <t xml:space="preserve">HOGAR</t>
  </si>
  <si>
    <t xml:space="preserve">Electrodomésticos</t>
  </si>
  <si>
    <t xml:space="preserve">Pedro Díaz</t>
  </si>
  <si>
    <t xml:space="preserve">completado</t>
  </si>
  <si>
    <t xml:space="preserve">Q2</t>
  </si>
  <si>
    <t xml:space="preserve">Centro</t>
  </si>
  <si>
    <t xml:space="preserve">Online</t>
  </si>
  <si>
    <t xml:space="preserve">Cliente 013</t>
  </si>
  <si>
    <t xml:space="preserve">TECNOLOGÍA</t>
  </si>
  <si>
    <t xml:space="preserve">Imagen</t>
  </si>
  <si>
    <t xml:space="preserve">Luis Gómez</t>
  </si>
  <si>
    <t xml:space="preserve">Devuelto</t>
  </si>
  <si>
    <t xml:space="preserve">Sur</t>
  </si>
  <si>
    <t xml:space="preserve">mayorista</t>
  </si>
  <si>
    <t xml:space="preserve">Cliente 035</t>
  </si>
  <si>
    <t xml:space="preserve">Marta Ruiz</t>
  </si>
  <si>
    <t xml:space="preserve">Cliente 051</t>
  </si>
  <si>
    <t xml:space="preserve">Anulado</t>
  </si>
  <si>
    <t xml:space="preserve">Q3</t>
  </si>
  <si>
    <t xml:space="preserve">Cliente 020</t>
  </si>
  <si>
    <t xml:space="preserve">Audio</t>
  </si>
  <si>
    <t xml:space="preserve">Interior</t>
  </si>
  <si>
    <t xml:space="preserve">RETAIL</t>
  </si>
  <si>
    <t xml:space="preserve">Cliente 015</t>
  </si>
  <si>
    <t xml:space="preserve">Accesorios</t>
  </si>
  <si>
    <t xml:space="preserve">Sofía García</t>
  </si>
  <si>
    <t xml:space="preserve">Retail</t>
  </si>
  <si>
    <t xml:space="preserve">Cliente 070</t>
  </si>
  <si>
    <t xml:space="preserve">Q4</t>
  </si>
  <si>
    <t xml:space="preserve">Costa</t>
  </si>
  <si>
    <t xml:space="preserve">Mayorista</t>
  </si>
  <si>
    <t xml:space="preserve">Cliente 069</t>
  </si>
  <si>
    <t xml:space="preserve">MARKETPLACE</t>
  </si>
  <si>
    <t xml:space="preserve">Cliente 048</t>
  </si>
  <si>
    <t xml:space="preserve">Cliente 066</t>
  </si>
  <si>
    <t xml:space="preserve">Marketplace</t>
  </si>
  <si>
    <t xml:space="preserve">hogar</t>
  </si>
  <si>
    <t xml:space="preserve">Iluminación</t>
  </si>
  <si>
    <t xml:space="preserve">Ana López</t>
  </si>
  <si>
    <t xml:space="preserve">Cliente 002</t>
  </si>
  <si>
    <t xml:space="preserve">Redes</t>
  </si>
  <si>
    <t xml:space="preserve">Cliente 063</t>
  </si>
  <si>
    <t xml:space="preserve">Mobiliario</t>
  </si>
  <si>
    <t xml:space="preserve">E-commerce</t>
  </si>
  <si>
    <t xml:space="preserve">Cliente 009</t>
  </si>
  <si>
    <t xml:space="preserve">Cliente 017</t>
  </si>
  <si>
    <t xml:space="preserve">Cliente 068</t>
  </si>
  <si>
    <t xml:space="preserve">oficina</t>
  </si>
  <si>
    <t xml:space="preserve">Cliente 033</t>
  </si>
  <si>
    <t xml:space="preserve">Cliente 046</t>
  </si>
  <si>
    <t xml:space="preserve">Distribuidor </t>
  </si>
  <si>
    <t xml:space="preserve">Cliente 016</t>
  </si>
  <si>
    <t xml:space="preserve">Distribuidor</t>
  </si>
  <si>
    <t xml:space="preserve">Cliente 039</t>
  </si>
  <si>
    <t xml:space="preserve">Cliente 012</t>
  </si>
  <si>
    <t xml:space="preserve">Cliente 064</t>
  </si>
  <si>
    <t xml:space="preserve">Cliente 057</t>
  </si>
  <si>
    <t xml:space="preserve">Cliente 010</t>
  </si>
  <si>
    <t xml:space="preserve">Cliente 054</t>
  </si>
  <si>
    <t xml:space="preserve">Cliente 055</t>
  </si>
  <si>
    <t xml:space="preserve">Cliente 007</t>
  </si>
  <si>
    <t xml:space="preserve">Cliente 006</t>
  </si>
  <si>
    <t xml:space="preserve">ecommerce</t>
  </si>
  <si>
    <t xml:space="preserve">Cliente 067</t>
  </si>
  <si>
    <t xml:space="preserve">COMPLETADO</t>
  </si>
  <si>
    <t xml:space="preserve">Cliente 044</t>
  </si>
  <si>
    <t xml:space="preserve">Cliente 043</t>
  </si>
  <si>
    <t xml:space="preserve">Cliente 011</t>
  </si>
  <si>
    <t xml:space="preserve">Computación</t>
  </si>
  <si>
    <t xml:space="preserve">Cliente 060</t>
  </si>
  <si>
    <t xml:space="preserve">Cliente 031</t>
  </si>
  <si>
    <t xml:space="preserve">Cliente 062</t>
  </si>
  <si>
    <t xml:space="preserve">Cliente 050</t>
  </si>
  <si>
    <t xml:space="preserve">Cliente 040</t>
  </si>
  <si>
    <t xml:space="preserve">Cliente 034</t>
  </si>
  <si>
    <t xml:space="preserve">Cliente 028</t>
  </si>
  <si>
    <t xml:space="preserve">Cliente 042</t>
  </si>
  <si>
    <t xml:space="preserve">Cliente 049</t>
  </si>
  <si>
    <t xml:space="preserve">Cliente 008</t>
  </si>
  <si>
    <t xml:space="preserve">Cliente 014</t>
  </si>
  <si>
    <t xml:space="preserve">on-line</t>
  </si>
  <si>
    <t xml:space="preserve">Cliente 056</t>
  </si>
  <si>
    <t xml:space="preserve">juan pérez</t>
  </si>
  <si>
    <t xml:space="preserve">Cliente 029</t>
  </si>
  <si>
    <t xml:space="preserve">Cliente 021</t>
  </si>
  <si>
    <t xml:space="preserve">Cliente 019</t>
  </si>
  <si>
    <t xml:space="preserve">Cliente 005</t>
  </si>
  <si>
    <t xml:space="preserve">Cliente 058</t>
  </si>
  <si>
    <t xml:space="preserve">Cliente 023</t>
  </si>
  <si>
    <t xml:space="preserve">Cliente 022</t>
  </si>
  <si>
    <t xml:space="preserve">Cliente 045</t>
  </si>
  <si>
    <t xml:space="preserve">Cliente 041</t>
  </si>
  <si>
    <t xml:space="preserve">Cliente 037</t>
  </si>
  <si>
    <t xml:space="preserve">Cliente 053</t>
  </si>
  <si>
    <t xml:space="preserve">Cliente 026</t>
  </si>
  <si>
    <t xml:space="preserve">Cliente 061</t>
  </si>
  <si>
    <t xml:space="preserve">Cliente 004</t>
  </si>
  <si>
    <t xml:space="preserve">Cliente 065</t>
  </si>
  <si>
    <t xml:space="preserve">MARTA RUIZ</t>
  </si>
  <si>
    <t xml:space="preserve">Cliente 052</t>
  </si>
  <si>
    <t xml:space="preserve">Cliente 030</t>
  </si>
  <si>
    <t xml:space="preserve">Cliente 001</t>
  </si>
  <si>
    <t xml:space="preserve">Cliente 018</t>
  </si>
  <si>
    <t xml:space="preserve">Cliente 047</t>
  </si>
  <si>
    <t xml:space="preserve">Cliente 038</t>
  </si>
  <si>
    <t xml:space="preserve">Cliente 024</t>
  </si>
  <si>
    <t xml:space="preserve">Cliente 003</t>
  </si>
  <si>
    <t xml:space="preserve">Cliente 027</t>
  </si>
  <si>
    <t xml:space="preserve">ANA LÓPEZ</t>
  </si>
  <si>
    <t xml:space="preserve">luis gómez</t>
  </si>
  <si>
    <t xml:space="preserve">Cliente 025</t>
  </si>
  <si>
    <t xml:space="preserve">LUIS GÓMEZ</t>
  </si>
  <si>
    <t xml:space="preserve">pedro díaz</t>
  </si>
  <si>
    <t xml:space="preserve">Hoja de soporte del Dashboard Final: criterios de filtro, categorías normalizadas y series de los gráficos. No modificar.</t>
  </si>
  <si>
    <t xml:space="preserve">Listas para segmentadores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</si>
</sst>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.0,,&quot; M&quot;"/>
    <numFmt numFmtId="166" formatCode="0.0%"/>
    <numFmt numFmtId="167" formatCode="#,##0"/>
    <numFmt numFmtId="168" formatCode="\$#,##0"/>
    <numFmt numFmtId="169" formatCode="&quot;▲ +&quot;0.0%;&quot;▼ –&quot;0.0%;\—"/>
    <numFmt numFmtId="170" formatCode="&quot;▲ +&quot;0.0&quot; pp&quot;;&quot;▼ –&quot;0.0&quot; pp&quot;;\—"/>
    <numFmt numFmtId="171" formatCode="#,##0,,\M"/>
    <numFmt numFmtId="172" formatCode="0%"/>
    <numFmt numFmtId="173" formatCode="#,##0.00"/>
    <numFmt numFmtId="174" formatCode="0.00%"/>
    <numFmt numFmtId="175" formatCode="yyyy\-mm\-dd"/>
  </numFmts>
  <fonts count="3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22"/>
      <color rgb="FF1F2937"/>
      <name val="Calibri"/>
      <family val="0"/>
      <charset val="1"/>
    </font>
    <font>
      <sz val="9"/>
      <color rgb="FF6B7280"/>
      <name val="Calibri"/>
      <family val="0"/>
      <charset val="1"/>
    </font>
    <font>
      <b val="true"/>
      <sz val="11"/>
      <color rgb="FF0F766E"/>
      <name val="Calibri"/>
      <family val="0"/>
      <charset val="1"/>
    </font>
    <font>
      <b val="true"/>
      <sz val="9"/>
      <color rgb="FF6B7280"/>
      <name val="Calibri"/>
      <family val="0"/>
      <charset val="1"/>
    </font>
    <font>
      <b val="true"/>
      <sz val="20"/>
      <color rgb="FF1F2937"/>
      <name val="Calibri"/>
      <family val="0"/>
      <charset val="1"/>
    </font>
    <font>
      <b val="true"/>
      <sz val="10"/>
      <color rgb="FF6B7280"/>
      <name val="Calibri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9"/>
      <color rgb="FF1F2937"/>
      <name val="Calibri"/>
      <family val="0"/>
      <charset val="1"/>
    </font>
    <font>
      <sz val="10"/>
      <color rgb="FF1F2937"/>
      <name val="Calibri"/>
      <family val="0"/>
      <charset val="1"/>
    </font>
    <font>
      <i val="true"/>
      <sz val="8.5"/>
      <color rgb="FF6B7280"/>
      <name val="Calibri"/>
      <family val="0"/>
      <charset val="1"/>
    </font>
    <font>
      <b val="true"/>
      <sz val="11"/>
      <color rgb="FF1F2937"/>
      <name val="Calibri"/>
      <family val="0"/>
      <charset val="1"/>
    </font>
    <font>
      <sz val="9.5"/>
      <color rgb="FF1F2937"/>
      <name val="Calibri"/>
      <family val="0"/>
      <charset val="1"/>
    </font>
    <font>
      <b val="true"/>
      <sz val="9.5"/>
      <color rgb="FF1F2937"/>
      <name val="Calibri"/>
      <family val="0"/>
      <charset val="1"/>
    </font>
    <font>
      <i val="true"/>
      <sz val="8"/>
      <color rgb="FF6B7280"/>
      <name val="Calibri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374151"/>
      <name val="Calibri"/>
      <family val="0"/>
      <charset val="1"/>
    </font>
    <font>
      <b val="true"/>
      <sz val="11"/>
      <color rgb="FF1E3A8A"/>
      <name val="Calibri"/>
      <family val="0"/>
      <charset val="1"/>
    </font>
    <font>
      <b val="true"/>
      <sz val="14"/>
      <color rgb="FF111827"/>
      <name val="Calibri"/>
      <family val="0"/>
      <charset val="1"/>
    </font>
    <font>
      <b val="true"/>
      <sz val="12"/>
      <color rgb="FF111827"/>
      <name val="Calibri"/>
      <family val="0"/>
      <charset val="1"/>
    </font>
    <font>
      <i val="true"/>
      <sz val="11"/>
      <color rgb="FF6B7280"/>
      <name val="Calibri"/>
      <family val="0"/>
      <charset val="1"/>
    </font>
    <font>
      <b val="true"/>
      <sz val="18"/>
      <color rgb="FF000000"/>
      <name val="Calibri"/>
      <family val="2"/>
    </font>
    <font>
      <b val="true"/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7F8FA"/>
        <bgColor rgb="FFEFF6FF"/>
      </patternFill>
    </fill>
    <fill>
      <patternFill patternType="solid">
        <fgColor rgb="FFFFFFFF"/>
        <bgColor rgb="FFF7F8FA"/>
      </patternFill>
    </fill>
    <fill>
      <patternFill patternType="solid">
        <fgColor rgb="FFFDF3DF"/>
        <bgColor rgb="FFFFFBEB"/>
      </patternFill>
    </fill>
    <fill>
      <patternFill patternType="solid">
        <fgColor rgb="FF0F766E"/>
        <bgColor rgb="FF15803D"/>
      </patternFill>
    </fill>
    <fill>
      <patternFill patternType="solid">
        <fgColor rgb="FFD1D5DB"/>
        <bgColor rgb="FFD9D9D9"/>
      </patternFill>
    </fill>
    <fill>
      <patternFill patternType="solid">
        <fgColor rgb="FFDBEAFE"/>
        <bgColor rgb="FFE5E7EB"/>
      </patternFill>
    </fill>
    <fill>
      <patternFill patternType="solid">
        <fgColor rgb="FFEFF6FF"/>
        <bgColor rgb="FFF7F8FA"/>
      </patternFill>
    </fill>
    <fill>
      <patternFill patternType="solid">
        <fgColor rgb="FFE5E7EB"/>
        <bgColor rgb="FFDBEAFE"/>
      </patternFill>
    </fill>
    <fill>
      <patternFill patternType="solid">
        <fgColor rgb="FFFFFBEB"/>
        <bgColor rgb="FFF7F8FA"/>
      </patternFill>
    </fill>
    <fill>
      <patternFill patternType="solid">
        <fgColor rgb="FF2563EB"/>
        <bgColor rgb="FF0066CC"/>
      </patternFill>
    </fill>
    <fill>
      <patternFill patternType="solid">
        <fgColor rgb="FF1F2937"/>
        <bgColor rgb="FF111827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/>
      <diagonal/>
    </border>
    <border diagonalUp="false" diagonalDown="false">
      <left style="thin">
        <color rgb="FFD1D5DB"/>
      </left>
      <right style="thin">
        <color rgb="FFD1D5DB"/>
      </right>
      <top/>
      <bottom/>
      <diagonal/>
    </border>
    <border diagonalUp="false" diagonalDown="false"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/>
      <bottom/>
      <diagonal/>
    </border>
    <border diagonalUp="false" diagonalDown="false">
      <left/>
      <right style="thin">
        <color rgb="FFD1D5DB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5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1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15803D"/>
      </font>
    </dxf>
    <dxf>
      <font>
        <b val="1"/>
        <color rgb="FFB91C1C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F766E"/>
      <rgbColor rgb="FFCCCCCC"/>
      <rgbColor rgb="FF8B8B8B"/>
      <rgbColor rgb="FF9999FF"/>
      <rgbColor rgb="FF993366"/>
      <rgbColor rgb="FFFFFBEB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FF6FF"/>
      <rgbColor rgb="FFE5E7EB"/>
      <rgbColor rgb="FFFDF3DF"/>
      <rgbColor rgb="FFF7F8FA"/>
      <rgbColor rgb="FFFF99CC"/>
      <rgbColor rgb="FFCC99FF"/>
      <rgbColor rgb="FFD9D9D9"/>
      <rgbColor rgb="FF2563EB"/>
      <rgbColor rgb="FF33CCCC"/>
      <rgbColor rgb="FF99CC00"/>
      <rgbColor rgb="FFFFCC00"/>
      <rgbColor rgb="FFF59E0B"/>
      <rgbColor rgb="FFFF6600"/>
      <rgbColor rgb="FF6B7280"/>
      <rgbColor rgb="FF969696"/>
      <rgbColor rgb="FF003366"/>
      <rgbColor rgb="FF339966"/>
      <rgbColor rgb="FF111827"/>
      <rgbColor rgb="FF374151"/>
      <rgbColor rgb="FFB91C1C"/>
      <rgbColor rgb="FF993366"/>
      <rgbColor rgb="FF1E3A8A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"Ventas netas"</c:f>
              <c:strCache>
                <c:ptCount val="1"/>
                <c:pt idx="0">
                  <c:v>Ventas netas</c:v>
                </c:pt>
              </c:strCache>
            </c:strRef>
          </c:tx>
          <c:spPr>
            <a:solidFill>
              <a:srgbClr val="0f766e"/>
            </a:solidFill>
            <a:ln w="28080">
              <a:solidFill>
                <a:srgbClr val="0f766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Aux_Dashboard!$A$10:$A$21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Aux_Dashboard!$B$10:$B$21</c:f>
              <c:numCache>
                <c:formatCode>General</c:formatCode>
                <c:ptCount val="12"/>
                <c:pt idx="0">
                  <c:v>74587317.64</c:v>
                </c:pt>
                <c:pt idx="1">
                  <c:v>59788145.6</c:v>
                </c:pt>
                <c:pt idx="2">
                  <c:v>95487410.27</c:v>
                </c:pt>
                <c:pt idx="3">
                  <c:v>50180273.45</c:v>
                </c:pt>
                <c:pt idx="4">
                  <c:v>63280395.8</c:v>
                </c:pt>
                <c:pt idx="5">
                  <c:v>93736031.26</c:v>
                </c:pt>
                <c:pt idx="6">
                  <c:v>125018944.84</c:v>
                </c:pt>
                <c:pt idx="7">
                  <c:v>62673740.61</c:v>
                </c:pt>
                <c:pt idx="8">
                  <c:v>59677426.87</c:v>
                </c:pt>
                <c:pt idx="9">
                  <c:v>86928101.59</c:v>
                </c:pt>
                <c:pt idx="10">
                  <c:v>100789415.47</c:v>
                </c:pt>
                <c:pt idx="11">
                  <c:v>115449580.47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630481"/>
        <c:axId val="36916699"/>
      </c:lineChart>
      <c:catAx>
        <c:axId val="816304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6916699"/>
        <c:crosses val="autoZero"/>
        <c:auto val="1"/>
        <c:lblAlgn val="ctr"/>
        <c:lblOffset val="100"/>
        <c:noMultiLvlLbl val="0"/>
      </c:catAx>
      <c:valAx>
        <c:axId val="36916699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,,\M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16304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"Ventas netas"</c:f>
              <c:strCache>
                <c:ptCount val="1"/>
                <c:pt idx="0">
                  <c:v>Ventas netas</c:v>
                </c:pt>
              </c:strCache>
            </c:strRef>
          </c:tx>
          <c:spPr>
            <a:solidFill>
              <a:srgbClr val="0f766e"/>
            </a:solidFill>
            <a:ln w="0">
              <a:solidFill>
                <a:srgbClr val="0f766e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Aux_Dashboard!$F$10:$F$12</c:f>
              <c:strCache>
                <c:ptCount val="3"/>
                <c:pt idx="0">
                  <c:v>Tecnología</c:v>
                </c:pt>
                <c:pt idx="1">
                  <c:v>Hogar</c:v>
                </c:pt>
                <c:pt idx="2">
                  <c:v>Oficina</c:v>
                </c:pt>
              </c:strCache>
            </c:strRef>
          </c:cat>
          <c:val>
            <c:numRef>
              <c:f>Aux_Dashboard!$G$10:$G$12</c:f>
              <c:numCache>
                <c:formatCode>General</c:formatCode>
                <c:ptCount val="3"/>
                <c:pt idx="0">
                  <c:v>586056101.68</c:v>
                </c:pt>
                <c:pt idx="1">
                  <c:v>194458636.12</c:v>
                </c:pt>
                <c:pt idx="2">
                  <c:v>207082046.07</c:v>
                </c:pt>
              </c:numCache>
            </c:numRef>
          </c:val>
        </c:ser>
        <c:gapWidth val="60"/>
        <c:overlap val="0"/>
        <c:axId val="8145789"/>
        <c:axId val="94176403"/>
      </c:barChart>
      <c:catAx>
        <c:axId val="81457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4176403"/>
        <c:crosses val="autoZero"/>
        <c:auto val="1"/>
        <c:lblAlgn val="ctr"/>
        <c:lblOffset val="100"/>
        <c:noMultiLvlLbl val="0"/>
      </c:catAx>
      <c:valAx>
        <c:axId val="94176403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,,\M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1457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"Ventas netas"</c:f>
              <c:strCache>
                <c:ptCount val="1"/>
                <c:pt idx="0">
                  <c:v>Ventas netas</c:v>
                </c:pt>
              </c:strCache>
            </c:strRef>
          </c:tx>
          <c:spPr>
            <a:solidFill>
              <a:srgbClr val="0f766e"/>
            </a:solidFill>
            <a:ln w="0">
              <a:solidFill>
                <a:srgbClr val="0f766e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Aux_Dashboard!$J$10:$J$16</c:f>
              <c:strCache>
                <c:ptCount val="7"/>
                <c:pt idx="0">
                  <c:v>Centro</c:v>
                </c:pt>
                <c:pt idx="1">
                  <c:v>Costa</c:v>
                </c:pt>
                <c:pt idx="2">
                  <c:v>Norte</c:v>
                </c:pt>
                <c:pt idx="3">
                  <c:v>CABA</c:v>
                </c:pt>
                <c:pt idx="4">
                  <c:v>Sur</c:v>
                </c:pt>
                <c:pt idx="5">
                  <c:v>Patagonia</c:v>
                </c:pt>
                <c:pt idx="6">
                  <c:v>Interior</c:v>
                </c:pt>
              </c:strCache>
            </c:strRef>
          </c:cat>
          <c:val>
            <c:numRef>
              <c:f>Aux_Dashboard!$K$10:$K$16</c:f>
              <c:numCache>
                <c:formatCode>General</c:formatCode>
                <c:ptCount val="7"/>
                <c:pt idx="0">
                  <c:v>200142004.9</c:v>
                </c:pt>
                <c:pt idx="1">
                  <c:v>168259405.87</c:v>
                </c:pt>
                <c:pt idx="2">
                  <c:v>154986694.39</c:v>
                </c:pt>
                <c:pt idx="3">
                  <c:v>141634383.39</c:v>
                </c:pt>
                <c:pt idx="4">
                  <c:v>130666267.88</c:v>
                </c:pt>
                <c:pt idx="5">
                  <c:v>120204776.53</c:v>
                </c:pt>
                <c:pt idx="6">
                  <c:v>71703250.91</c:v>
                </c:pt>
              </c:numCache>
            </c:numRef>
          </c:val>
        </c:ser>
        <c:gapWidth val="50"/>
        <c:overlap val="0"/>
        <c:axId val="61409808"/>
        <c:axId val="55249301"/>
      </c:barChart>
      <c:catAx>
        <c:axId val="614098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5249301"/>
        <c:crosses val="autoZero"/>
        <c:auto val="1"/>
        <c:lblAlgn val="ctr"/>
        <c:lblOffset val="100"/>
        <c:noMultiLvlLbl val="0"/>
      </c:catAx>
      <c:valAx>
        <c:axId val="55249301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,,\M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14098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"Productos"</c:f>
              <c:strCache>
                <c:ptCount val="1"/>
                <c:pt idx="0">
                  <c:v>Productos</c:v>
                </c:pt>
              </c:strCache>
            </c:strRef>
          </c:tx>
          <c:spPr>
            <a:solidFill>
              <a:srgbClr val="f59e0b"/>
            </a:solidFill>
            <a:ln w="38160">
              <a:noFill/>
            </a:ln>
          </c:spPr>
          <c:marker>
            <c:symbol val="circle"/>
            <c:size val="8"/>
            <c:spPr>
              <a:solidFill>
                <a:srgbClr val="f59e0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Aux_Dashboard!$N$10:$N$21</c:f>
              <c:numCache>
                <c:formatCode>General</c:formatCode>
                <c:ptCount val="12"/>
                <c:pt idx="0">
                  <c:v>174183957.92</c:v>
                </c:pt>
                <c:pt idx="1">
                  <c:v>136410041.51</c:v>
                </c:pt>
                <c:pt idx="2">
                  <c:v>116500206.09</c:v>
                </c:pt>
                <c:pt idx="3">
                  <c:v>84910389.79</c:v>
                </c:pt>
                <c:pt idx="4">
                  <c:v>79120953.72</c:v>
                </c:pt>
                <c:pt idx="5">
                  <c:v>75854179.51</c:v>
                </c:pt>
                <c:pt idx="6">
                  <c:v>74942474</c:v>
                </c:pt>
                <c:pt idx="7">
                  <c:v>70563335.74</c:v>
                </c:pt>
                <c:pt idx="8">
                  <c:v>56285392.56</c:v>
                </c:pt>
                <c:pt idx="9">
                  <c:v>53910056.21</c:v>
                </c:pt>
                <c:pt idx="10">
                  <c:v>44641118.62</c:v>
                </c:pt>
                <c:pt idx="11">
                  <c:v>20274678.2</c:v>
                </c:pt>
              </c:numCache>
            </c:numRef>
          </c:xVal>
          <c:yVal>
            <c:numRef>
              <c:f>Aux_Dashboard!$P$10:$P$21</c:f>
              <c:numCache>
                <c:formatCode>General</c:formatCode>
                <c:ptCount val="12"/>
                <c:pt idx="0">
                  <c:v>0.370897294340227</c:v>
                </c:pt>
                <c:pt idx="1">
                  <c:v>0.358737248653448</c:v>
                </c:pt>
                <c:pt idx="2">
                  <c:v>0.367180246419082</c:v>
                </c:pt>
                <c:pt idx="3">
                  <c:v>0.413434070280694</c:v>
                </c:pt>
                <c:pt idx="4">
                  <c:v>0.296733094157147</c:v>
                </c:pt>
                <c:pt idx="5">
                  <c:v>0.291644011877863</c:v>
                </c:pt>
                <c:pt idx="6">
                  <c:v>0.3510620121775</c:v>
                </c:pt>
                <c:pt idx="7">
                  <c:v>0.316044223478486</c:v>
                </c:pt>
                <c:pt idx="8">
                  <c:v>0.318203687944573</c:v>
                </c:pt>
                <c:pt idx="9">
                  <c:v>0.386626858054244</c:v>
                </c:pt>
                <c:pt idx="10">
                  <c:v>0.30297773237117</c:v>
                </c:pt>
                <c:pt idx="11">
                  <c:v>0.298673424074371</c:v>
                </c:pt>
              </c:numCache>
            </c:numRef>
          </c:yVal>
          <c:smooth val="1"/>
        </c:ser>
        <c:axId val="36201753"/>
        <c:axId val="56268257"/>
      </c:scatterChart>
      <c:valAx>
        <c:axId val="36201753"/>
        <c:scaling>
          <c:orientation val="minMax"/>
        </c:scaling>
        <c:delete val="0"/>
        <c:axPos val="b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Ventas netas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\M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6268257"/>
        <c:crosses val="autoZero"/>
        <c:crossBetween val="midCat"/>
      </c:valAx>
      <c:valAx>
        <c:axId val="56268257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% margen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620175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Ventas Netas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"Ventas_Netas"</c:f>
              <c:strCache>
                <c:ptCount val="1"/>
                <c:pt idx="0">
                  <c:v>Ventas_Netas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Configuración!$A$4:$A$15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Configuración!$B$4:$B$15</c:f>
              <c:numCache>
                <c:formatCode>#,##0.00</c:formatCode>
                <c:ptCount val="12"/>
                <c:pt idx="0">
                  <c:v>74587317.64</c:v>
                </c:pt>
                <c:pt idx="1">
                  <c:v>59788145.6</c:v>
                </c:pt>
                <c:pt idx="2">
                  <c:v>95487410.27</c:v>
                </c:pt>
                <c:pt idx="3">
                  <c:v>50180273.45</c:v>
                </c:pt>
                <c:pt idx="4">
                  <c:v>63280395.8</c:v>
                </c:pt>
                <c:pt idx="5">
                  <c:v>93736031.26</c:v>
                </c:pt>
                <c:pt idx="6">
                  <c:v>125018944.84</c:v>
                </c:pt>
                <c:pt idx="7">
                  <c:v>62673740.61</c:v>
                </c:pt>
                <c:pt idx="8">
                  <c:v>59677426.87</c:v>
                </c:pt>
                <c:pt idx="9">
                  <c:v>86928101.59</c:v>
                </c:pt>
                <c:pt idx="10">
                  <c:v>100789415.47</c:v>
                </c:pt>
                <c:pt idx="11">
                  <c:v>115449580.47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957125"/>
        <c:axId val="23138483"/>
      </c:lineChart>
      <c:catAx>
        <c:axId val="1795712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3138483"/>
        <c:crosses val="autoZero"/>
        <c:auto val="1"/>
        <c:lblAlgn val="ctr"/>
        <c:lblOffset val="100"/>
        <c:noMultiLvlLbl val="0"/>
      </c:catAx>
      <c:valAx>
        <c:axId val="2313848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Ventas Netas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79571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39960</xdr:colOff>
      <xdr:row>15</xdr:row>
      <xdr:rowOff>20160</xdr:rowOff>
    </xdr:from>
    <xdr:to>
      <xdr:col>7</xdr:col>
      <xdr:colOff>911160</xdr:colOff>
      <xdr:row>29</xdr:row>
      <xdr:rowOff>169920</xdr:rowOff>
    </xdr:to>
    <xdr:graphicFrame>
      <xdr:nvGraphicFramePr>
        <xdr:cNvPr id="0" name="Chart 1"/>
        <xdr:cNvGraphicFramePr/>
      </xdr:nvGraphicFramePr>
      <xdr:xfrm>
        <a:off x="194760" y="3163320"/>
        <a:ext cx="6582600" cy="281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39960</xdr:colOff>
      <xdr:row>15</xdr:row>
      <xdr:rowOff>20160</xdr:rowOff>
    </xdr:from>
    <xdr:to>
      <xdr:col>12</xdr:col>
      <xdr:colOff>911160</xdr:colOff>
      <xdr:row>29</xdr:row>
      <xdr:rowOff>169920</xdr:rowOff>
    </xdr:to>
    <xdr:graphicFrame>
      <xdr:nvGraphicFramePr>
        <xdr:cNvPr id="1" name="Chart 2"/>
        <xdr:cNvGraphicFramePr/>
      </xdr:nvGraphicFramePr>
      <xdr:xfrm>
        <a:off x="6858000" y="3163320"/>
        <a:ext cx="4678560" cy="281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39960</xdr:colOff>
      <xdr:row>32</xdr:row>
      <xdr:rowOff>20160</xdr:rowOff>
    </xdr:from>
    <xdr:to>
      <xdr:col>7</xdr:col>
      <xdr:colOff>911160</xdr:colOff>
      <xdr:row>46</xdr:row>
      <xdr:rowOff>170280</xdr:rowOff>
    </xdr:to>
    <xdr:graphicFrame>
      <xdr:nvGraphicFramePr>
        <xdr:cNvPr id="2" name="Chart 3"/>
        <xdr:cNvGraphicFramePr/>
      </xdr:nvGraphicFramePr>
      <xdr:xfrm>
        <a:off x="194760" y="6401880"/>
        <a:ext cx="6582600" cy="281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39960</xdr:colOff>
      <xdr:row>32</xdr:row>
      <xdr:rowOff>20160</xdr:rowOff>
    </xdr:from>
    <xdr:to>
      <xdr:col>12</xdr:col>
      <xdr:colOff>911160</xdr:colOff>
      <xdr:row>46</xdr:row>
      <xdr:rowOff>170280</xdr:rowOff>
    </xdr:to>
    <xdr:graphicFrame>
      <xdr:nvGraphicFramePr>
        <xdr:cNvPr id="3" name="Chart 4"/>
        <xdr:cNvGraphicFramePr/>
      </xdr:nvGraphicFramePr>
      <xdr:xfrm>
        <a:off x="6858000" y="6401880"/>
        <a:ext cx="4678560" cy="281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8</xdr:col>
      <xdr:colOff>210600</xdr:colOff>
      <xdr:row>23</xdr:row>
      <xdr:rowOff>190080</xdr:rowOff>
    </xdr:to>
    <xdr:graphicFrame>
      <xdr:nvGraphicFramePr>
        <xdr:cNvPr id="4" name="Chart 1"/>
        <xdr:cNvGraphicFramePr/>
      </xdr:nvGraphicFramePr>
      <xdr:xfrm>
        <a:off x="0" y="1533600"/>
        <a:ext cx="697716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2"/>
    <col collapsed="false" customWidth="true" hidden="false" outlineLevel="0" max="13" min="2" style="1" width="13.5"/>
    <col collapsed="false" customWidth="true" hidden="false" outlineLevel="0" max="14" min="14" style="1" width="2.2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1.75" hidden="false" customHeight="true" outlineLevel="0" collapsed="false">
      <c r="A2" s="2"/>
      <c r="B2" s="3" t="s">
        <v>0</v>
      </c>
      <c r="C2" s="3"/>
      <c r="D2" s="3"/>
      <c r="E2" s="3"/>
      <c r="F2" s="3"/>
      <c r="G2" s="3"/>
      <c r="H2" s="3"/>
      <c r="I2" s="3"/>
      <c r="J2" s="4" t="s">
        <v>1</v>
      </c>
      <c r="K2" s="4"/>
      <c r="L2" s="4"/>
      <c r="M2" s="4"/>
      <c r="N2" s="2"/>
    </row>
    <row r="3" customFormat="false" ht="21.75" hidden="false" customHeight="true" outlineLevel="0" collapsed="false">
      <c r="A3" s="2"/>
      <c r="B3" s="3"/>
      <c r="C3" s="3"/>
      <c r="D3" s="3"/>
      <c r="E3" s="3"/>
      <c r="F3" s="3"/>
      <c r="G3" s="3"/>
      <c r="H3" s="3"/>
      <c r="I3" s="3"/>
      <c r="J3" s="4"/>
      <c r="K3" s="4"/>
      <c r="L3" s="4"/>
      <c r="M3" s="4"/>
      <c r="N3" s="2"/>
    </row>
    <row r="4" customFormat="false" ht="15" hidden="false" customHeight="true" outlineLevel="0" collapsed="false">
      <c r="A4" s="2"/>
      <c r="B4" s="5" t="str">
        <f aca="false">Aux_Dashboard!$B$31</f>
        <v>Año 2024 · Mes: (Todos) · Región: (Todos) · Categoría: (Todos) · Estado: (Todos)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5" hidden="false" customHeight="true" outlineLevel="0" collapsed="false">
      <c r="A6" s="2"/>
      <c r="B6" s="6" t="s">
        <v>2</v>
      </c>
      <c r="C6" s="6"/>
      <c r="D6" s="6"/>
      <c r="E6" s="6" t="s">
        <v>3</v>
      </c>
      <c r="F6" s="6"/>
      <c r="G6" s="6"/>
      <c r="H6" s="6" t="s">
        <v>4</v>
      </c>
      <c r="I6" s="6"/>
      <c r="J6" s="6"/>
      <c r="K6" s="6" t="s">
        <v>5</v>
      </c>
      <c r="L6" s="6"/>
      <c r="M6" s="6"/>
      <c r="N6" s="2"/>
    </row>
    <row r="7" customFormat="false" ht="19.5" hidden="false" customHeight="true" outlineLevel="0" collapsed="false">
      <c r="A7" s="2"/>
      <c r="B7" s="7" t="n">
        <f aca="false">Aux_Dashboard!$B$24</f>
        <v>987596783.87</v>
      </c>
      <c r="C7" s="7"/>
      <c r="D7" s="7"/>
      <c r="E7" s="8" t="n">
        <f aca="false">Aux_Dashboard!$E$24</f>
        <v>0.348285889897427</v>
      </c>
      <c r="F7" s="8"/>
      <c r="G7" s="8"/>
      <c r="H7" s="9" t="n">
        <f aca="false">Aux_Dashboard!$D$24</f>
        <v>11196</v>
      </c>
      <c r="I7" s="9"/>
      <c r="J7" s="9"/>
      <c r="K7" s="10" t="n">
        <f aca="false">Aux_Dashboard!$F$24</f>
        <v>88209.7877697392</v>
      </c>
      <c r="L7" s="10"/>
      <c r="M7" s="10"/>
      <c r="N7" s="2"/>
    </row>
    <row r="8" customFormat="false" ht="19.5" hidden="false" customHeight="true" outlineLevel="0" collapsed="false">
      <c r="A8" s="2"/>
      <c r="B8" s="7"/>
      <c r="C8" s="7"/>
      <c r="D8" s="7"/>
      <c r="E8" s="8"/>
      <c r="F8" s="8"/>
      <c r="G8" s="8"/>
      <c r="H8" s="9"/>
      <c r="I8" s="9"/>
      <c r="J8" s="9"/>
      <c r="K8" s="10"/>
      <c r="L8" s="10"/>
      <c r="M8" s="10"/>
      <c r="N8" s="2"/>
    </row>
    <row r="9" customFormat="false" ht="15" hidden="false" customHeight="true" outlineLevel="0" collapsed="false">
      <c r="A9" s="2"/>
      <c r="B9" s="11" t="n">
        <f aca="false">Aux_Dashboard!$B$27</f>
        <v>0.259638828606938</v>
      </c>
      <c r="C9" s="11"/>
      <c r="D9" s="11"/>
      <c r="E9" s="12" t="n">
        <f aca="false">Aux_Dashboard!$E$27*100</f>
        <v>0.4112899235162</v>
      </c>
      <c r="F9" s="12"/>
      <c r="G9" s="12"/>
      <c r="H9" s="11" t="n">
        <f aca="false">Aux_Dashboard!$D$27</f>
        <v>0.113250283125708</v>
      </c>
      <c r="I9" s="11"/>
      <c r="J9" s="11"/>
      <c r="K9" s="11" t="n">
        <f aca="false">Aux_Dashboard!$F$27</f>
        <v>0.131496526612336</v>
      </c>
      <c r="L9" s="11"/>
      <c r="M9" s="11"/>
      <c r="N9" s="2"/>
    </row>
    <row r="10" customFormat="false" ht="15" hidden="false" customHeight="true" outlineLevel="0" collapsed="false">
      <c r="A10" s="2"/>
      <c r="B10" s="13" t="str">
        <f aca="false">"Variación "&amp;Aux_Dashboard!$B$29&amp;" · Período mostrado: "&amp;Aux_Dashboard!$B$37&amp;" (el % de margen se compara en puntos porcentuales)"</f>
        <v>Variación 2º semestre vs 1º semestre · Período mostrado: Total 2024 (el % de margen se compara en puntos porcentuales)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2"/>
    </row>
    <row r="11" customFormat="false" ht="15" hidden="false" customHeight="true" outlineLevel="0" collapsed="false">
      <c r="A11" s="2"/>
      <c r="B11" s="14" t="s">
        <v>6</v>
      </c>
      <c r="C11" s="14"/>
      <c r="D11" s="2"/>
      <c r="E11" s="14" t="s">
        <v>7</v>
      </c>
      <c r="F11" s="14"/>
      <c r="G11" s="2"/>
      <c r="H11" s="14" t="s">
        <v>8</v>
      </c>
      <c r="I11" s="14"/>
      <c r="J11" s="2"/>
      <c r="K11" s="14" t="s">
        <v>9</v>
      </c>
      <c r="L11" s="14"/>
      <c r="M11" s="2"/>
      <c r="N11" s="2"/>
    </row>
    <row r="12" customFormat="false" ht="15" hidden="false" customHeight="true" outlineLevel="0" collapsed="false">
      <c r="A12" s="2"/>
      <c r="B12" s="2"/>
      <c r="C12" s="15" t="s">
        <v>10</v>
      </c>
      <c r="D12" s="15"/>
      <c r="E12" s="2"/>
      <c r="F12" s="15" t="s">
        <v>10</v>
      </c>
      <c r="G12" s="15"/>
      <c r="H12" s="2"/>
      <c r="I12" s="15" t="s">
        <v>10</v>
      </c>
      <c r="J12" s="15"/>
      <c r="K12" s="2"/>
      <c r="L12" s="15" t="s">
        <v>10</v>
      </c>
      <c r="M12" s="15"/>
      <c r="N12" s="2"/>
    </row>
    <row r="13" customFormat="false" ht="15" hidden="false" customHeight="true" outlineLevel="0" collapsed="false">
      <c r="A13" s="2"/>
      <c r="B13" s="16" t="s">
        <v>11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2"/>
    </row>
    <row r="14" customFormat="false" ht="1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customFormat="false" ht="15" hidden="false" customHeight="true" outlineLevel="0" collapsed="false">
      <c r="A15" s="2"/>
      <c r="B15" s="17" t="str">
        <f aca="false">Aux_Dashboard!$B$32</f>
        <v>Las ventas alcanzan su máximo en Julio</v>
      </c>
      <c r="C15" s="17"/>
      <c r="D15" s="17"/>
      <c r="E15" s="17"/>
      <c r="F15" s="17"/>
      <c r="G15" s="17"/>
      <c r="H15" s="17"/>
      <c r="I15" s="17" t="str">
        <f aca="false">Aux_Dashboard!$B$33</f>
        <v>La categoría Tecnología concentra la mayor venta del período</v>
      </c>
      <c r="J15" s="17"/>
      <c r="K15" s="17"/>
      <c r="L15" s="17"/>
      <c r="M15" s="17"/>
      <c r="N15" s="2"/>
    </row>
    <row r="16" customFormat="false" ht="1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customFormat="false" ht="1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customFormat="false" ht="1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customFormat="false" ht="1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customFormat="false" ht="1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customFormat="false" ht="1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customFormat="false" ht="15" hidden="false" customHeight="true" outlineLevel="0" collapsed="false">
      <c r="A32" s="2"/>
      <c r="B32" s="17" t="str">
        <f aca="false">Aux_Dashboard!$B$34</f>
        <v>La región Centro lidera las ventas del período</v>
      </c>
      <c r="C32" s="17"/>
      <c r="D32" s="17"/>
      <c r="E32" s="17"/>
      <c r="F32" s="17"/>
      <c r="G32" s="17"/>
      <c r="H32" s="17"/>
      <c r="I32" s="17" t="s">
        <v>12</v>
      </c>
      <c r="J32" s="17"/>
      <c r="K32" s="17"/>
      <c r="L32" s="17"/>
      <c r="M32" s="17"/>
      <c r="N32" s="2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5" hidden="false" customHeight="true" outlineLevel="0" collapsed="false">
      <c r="A48" s="2"/>
      <c r="B48" s="13" t="s">
        <v>13</v>
      </c>
      <c r="C48" s="13"/>
      <c r="D48" s="13"/>
      <c r="E48" s="13"/>
      <c r="F48" s="13"/>
      <c r="G48" s="13"/>
      <c r="H48" s="13"/>
      <c r="I48" s="13" t="str">
        <f aca="false">Aux_Dashboard!$B$36</f>
        <v>Mayor % de margen: Tablet 10 · Menor: Impresora</v>
      </c>
      <c r="J48" s="13"/>
      <c r="K48" s="13"/>
      <c r="L48" s="13"/>
      <c r="M48" s="13"/>
      <c r="N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customFormat="false" ht="15" hidden="false" customHeight="true" outlineLevel="0" collapsed="false">
      <c r="A50" s="2"/>
      <c r="B50" s="18" t="s">
        <v>14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2"/>
    </row>
    <row r="51" customFormat="false" ht="15.75" hidden="false" customHeight="true" outlineLevel="0" collapsed="false">
      <c r="A51" s="2"/>
      <c r="B51" s="19" t="s">
        <v>15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2"/>
    </row>
    <row r="52" customFormat="false" ht="15.75" hidden="false" customHeight="true" outlineLevel="0" collapsed="false">
      <c r="A52" s="2"/>
      <c r="B52" s="19" t="s">
        <v>16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2"/>
    </row>
    <row r="53" customFormat="false" ht="15.75" hidden="false" customHeight="true" outlineLevel="0" collapsed="false">
      <c r="A53" s="2"/>
      <c r="B53" s="19" t="s">
        <v>17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2"/>
    </row>
    <row r="54" customFormat="false" ht="15" hidden="false" customHeight="true" outlineLevel="0" collapsed="false">
      <c r="A54" s="2"/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2"/>
      <c r="N54" s="2"/>
    </row>
    <row r="55" customFormat="false" ht="15.75" hidden="false" customHeight="true" outlineLevel="0" collapsed="false">
      <c r="A55" s="2"/>
      <c r="B55" s="23" t="s">
        <v>18</v>
      </c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"/>
    </row>
    <row r="56" customFormat="false" ht="25.5" hidden="false" customHeight="true" outlineLevel="0" collapsed="false">
      <c r="A56" s="2"/>
      <c r="B56" s="19" t="s">
        <v>19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2"/>
    </row>
    <row r="57" customFormat="false" ht="15.75" hidden="false" customHeight="true" outlineLevel="0" collapsed="false">
      <c r="A57" s="2"/>
      <c r="B57" s="19" t="s">
        <v>20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2"/>
    </row>
    <row r="58" customFormat="false" ht="15.75" hidden="false" customHeight="true" outlineLevel="0" collapsed="false">
      <c r="A58" s="2"/>
      <c r="B58" s="24" t="s">
        <v>21</v>
      </c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customFormat="false" ht="15" hidden="false" customHeight="true" outlineLevel="0" collapsed="false">
      <c r="A60" s="2"/>
      <c r="B60" s="25" t="s">
        <v>22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"/>
    </row>
  </sheetData>
  <mergeCells count="40">
    <mergeCell ref="B2:I3"/>
    <mergeCell ref="J2:M3"/>
    <mergeCell ref="B4:M4"/>
    <mergeCell ref="B6:D6"/>
    <mergeCell ref="E6:G6"/>
    <mergeCell ref="H6:J6"/>
    <mergeCell ref="K6:M6"/>
    <mergeCell ref="B7:D8"/>
    <mergeCell ref="E7:G8"/>
    <mergeCell ref="H7:J8"/>
    <mergeCell ref="K7:M8"/>
    <mergeCell ref="B9:D9"/>
    <mergeCell ref="E9:G9"/>
    <mergeCell ref="H9:J9"/>
    <mergeCell ref="K9:M9"/>
    <mergeCell ref="B10:M10"/>
    <mergeCell ref="B11:C11"/>
    <mergeCell ref="E11:F11"/>
    <mergeCell ref="H11:I11"/>
    <mergeCell ref="K11:L11"/>
    <mergeCell ref="C12:D12"/>
    <mergeCell ref="F12:G12"/>
    <mergeCell ref="I12:J12"/>
    <mergeCell ref="L12:M12"/>
    <mergeCell ref="B13:M13"/>
    <mergeCell ref="B15:H15"/>
    <mergeCell ref="I15:M15"/>
    <mergeCell ref="B32:H32"/>
    <mergeCell ref="I32:M32"/>
    <mergeCell ref="B48:H48"/>
    <mergeCell ref="I48:M48"/>
    <mergeCell ref="B50:M50"/>
    <mergeCell ref="B51:M51"/>
    <mergeCell ref="B52:M52"/>
    <mergeCell ref="B53:M53"/>
    <mergeCell ref="B55:M55"/>
    <mergeCell ref="B56:M56"/>
    <mergeCell ref="B57:M57"/>
    <mergeCell ref="B58:M58"/>
    <mergeCell ref="B60:M60"/>
  </mergeCells>
  <conditionalFormatting sqref="B9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E9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H9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conditionalFormatting sqref="K9">
    <cfRule type="cellIs" priority="8" operator="greaterThan" aboveAverage="0" equalAverage="0" bottom="0" percent="0" rank="0" text="" dxfId="0">
      <formula>0</formula>
    </cfRule>
    <cfRule type="cellIs" priority="9" operator="lessThan" aboveAverage="0" equalAverage="0" bottom="0" percent="0" rank="0" text="" dxfId="1">
      <formula>0</formula>
    </cfRule>
  </conditionalFormatting>
  <dataValidations count="4">
    <dataValidation allowBlank="false" error="Elegí un valor de la lista" errorStyle="stop" errorTitle="Valor inválido" operator="between" showDropDown="false" showErrorMessage="false" showInputMessage="false" sqref="C12" type="list">
      <formula1>Aux_Dashboard!$R$2:$R$14</formula1>
      <formula2>0</formula2>
    </dataValidation>
    <dataValidation allowBlank="false" error="Elegí un valor de la lista" errorStyle="stop" errorTitle="Valor inválido" operator="between" showDropDown="false" showErrorMessage="false" showInputMessage="false" sqref="F12" type="list">
      <formula1>Aux_Dashboard!$S$2:$S$10</formula1>
      <formula2>0</formula2>
    </dataValidation>
    <dataValidation allowBlank="false" error="Elegí un valor de la lista" errorStyle="stop" errorTitle="Valor inválido" operator="between" showDropDown="false" showErrorMessage="false" showInputMessage="false" sqref="I12" type="list">
      <formula1>Aux_Dashboard!$T$2:$T$6</formula1>
      <formula2>0</formula2>
    </dataValidation>
    <dataValidation allowBlank="false" error="Elegí un valor de la lista" errorStyle="stop" errorTitle="Valor inválido" operator="between" showDropDown="false" showErrorMessage="false" showInputMessage="false" sqref="L12" type="list">
      <formula1>Aux_Dashboard!$U$2:$U$7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3" min="2" style="1" width="16"/>
    <col collapsed="false" customWidth="true" hidden="false" outlineLevel="0" max="8" min="4" style="1" width="12"/>
    <col collapsed="false" customWidth="true" hidden="false" outlineLevel="0" max="9" min="9" style="1" width="3"/>
    <col collapsed="false" customWidth="true" hidden="false" outlineLevel="0" max="13" min="10" style="1" width="14"/>
  </cols>
  <sheetData>
    <row r="1" customFormat="false" ht="24" hidden="false" customHeight="true" outlineLevel="0" collapsed="false">
      <c r="A1" s="26" t="s">
        <v>23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customFormat="false" ht="15" hidden="false" customHeight="true" outlineLevel="0" collapsed="false">
      <c r="A2" s="27" t="str">
        <f aca="false">HYPERLINK("#Inicio_Dash","Resumen General")</f>
        <v>Resumen General</v>
      </c>
      <c r="B2" s="27"/>
      <c r="C2" s="27"/>
      <c r="D2" s="27"/>
      <c r="E2" s="28" t="str">
        <f aca="false">HYPERLINK("#Inicio_Detalle","Detalle por Producto")</f>
        <v>Detalle por Producto</v>
      </c>
      <c r="F2" s="28"/>
      <c r="G2" s="28"/>
      <c r="H2" s="28"/>
      <c r="J2" s="29" t="s">
        <v>24</v>
      </c>
      <c r="K2" s="29"/>
      <c r="L2" s="29"/>
      <c r="M2" s="29"/>
    </row>
    <row r="3" customFormat="false" ht="15" hidden="false" customHeight="true" outlineLevel="0" collapsed="false">
      <c r="A3" s="27"/>
      <c r="B3" s="27"/>
      <c r="C3" s="27"/>
      <c r="D3" s="27"/>
      <c r="E3" s="28"/>
      <c r="F3" s="28"/>
      <c r="G3" s="28"/>
      <c r="H3" s="28"/>
      <c r="J3" s="30" t="n">
        <f aca="false">IF($B$3="",SUM(Datos_Crudos!$Q:$Q),SUMIFS(Datos_Crudos!$Q:$Q,Datos_Crudos!$C:$C,$B$3))</f>
        <v>987596783.87</v>
      </c>
      <c r="K3" s="30"/>
      <c r="L3" s="30"/>
      <c r="M3" s="30"/>
    </row>
    <row r="4" customFormat="false" ht="15" hidden="false" customHeight="true" outlineLevel="0" collapsed="false">
      <c r="J4" s="30"/>
      <c r="K4" s="30"/>
      <c r="L4" s="30"/>
      <c r="M4" s="30"/>
    </row>
    <row r="5" customFormat="false" ht="21.75" hidden="false" customHeight="true" outlineLevel="0" collapsed="false">
      <c r="A5" s="31" t="str">
        <f aca="false">IF($B$3="","Reporte Anual Consolidado","Reporte Comparativo de Ventas: "&amp;$B$3)</f>
        <v>Reporte Anual Consolidado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customFormat="false" ht="15" hidden="false" customHeight="true" outlineLevel="0" collapsed="false">
      <c r="J6" s="32" t="n">
        <f aca="false">IFERROR((IF($B$3="",SUM(Datos_Crudos!$Q:$Q),SUMIFS(Datos_Crudos!$Q:$Q,Datos_Crudos!$C:$C,$B$3))/IF($B$3="",AVERAGE(Configuración!$B$4:$B$15),IF(MATCH($B$3,Configuración!$A$4:$A$15,0)=1,AVERAGE(Configuración!$B$4:$B$15),INDEX(Configuración!$B$4:$B$15,MATCH($B$3,Configuración!$A$4:$A$15,0)-1))))-1,0)</f>
        <v>11</v>
      </c>
      <c r="K6" s="32"/>
      <c r="L6" s="32"/>
      <c r="M6" s="32"/>
    </row>
    <row r="7" customFormat="false" ht="15" hidden="false" customHeight="true" outlineLevel="0" collapsed="false">
      <c r="J7" s="32"/>
      <c r="K7" s="32"/>
      <c r="L7" s="32"/>
      <c r="M7" s="32"/>
    </row>
    <row r="26" customFormat="false" ht="15" hidden="false" customHeight="true" outlineLevel="0" collapsed="false">
      <c r="A26" s="33" t="s">
        <v>25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</row>
  </sheetData>
  <mergeCells count="10">
    <mergeCell ref="A1:M1"/>
    <mergeCell ref="A2:D3"/>
    <mergeCell ref="E2:H3"/>
    <mergeCell ref="J2:M2"/>
    <mergeCell ref="B3:C3"/>
    <mergeCell ref="J3:M4"/>
    <mergeCell ref="A5:M5"/>
    <mergeCell ref="J5:M5"/>
    <mergeCell ref="J6:M7"/>
    <mergeCell ref="A26:M26"/>
  </mergeCells>
  <dataValidations count="1">
    <dataValidation allowBlank="false" errorStyle="stop" operator="between" showDropDown="false" showErrorMessage="false" showInputMessage="false" sqref="B3:C3" type="list">
      <formula1>Configuración!$A$4:$A$15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6" min="4" style="1" width="16"/>
  </cols>
  <sheetData>
    <row r="1" customFormat="false" ht="24" hidden="false" customHeight="true" outlineLevel="0" collapsed="false">
      <c r="A1" s="34" t="s">
        <v>26</v>
      </c>
      <c r="B1" s="34"/>
      <c r="C1" s="34"/>
      <c r="D1" s="34"/>
      <c r="E1" s="34"/>
      <c r="F1" s="34"/>
      <c r="G1" s="34"/>
      <c r="H1" s="34"/>
    </row>
    <row r="2" customFormat="false" ht="15" hidden="false" customHeight="true" outlineLevel="0" collapsed="false">
      <c r="A2" s="28" t="str">
        <f aca="false">HYPERLINK("#Inicio_Dash","Resumen General")</f>
        <v>Resumen General</v>
      </c>
      <c r="B2" s="28"/>
      <c r="C2" s="28"/>
      <c r="D2" s="28"/>
      <c r="E2" s="27" t="str">
        <f aca="false">HYPERLINK("#Inicio_Detalle","Detalle por Producto")</f>
        <v>Detalle por Producto</v>
      </c>
      <c r="F2" s="27"/>
      <c r="G2" s="27"/>
      <c r="H2" s="27"/>
    </row>
    <row r="3" customFormat="false" ht="15" hidden="false" customHeight="true" outlineLevel="0" collapsed="false">
      <c r="A3" s="28"/>
      <c r="B3" s="28"/>
      <c r="C3" s="28"/>
      <c r="D3" s="28"/>
      <c r="E3" s="27"/>
      <c r="F3" s="27"/>
      <c r="G3" s="27"/>
      <c r="H3" s="27"/>
    </row>
    <row r="5" customFormat="false" ht="15" hidden="false" customHeight="true" outlineLevel="0" collapsed="false">
      <c r="A5" s="35" t="s">
        <v>27</v>
      </c>
      <c r="B5" s="35" t="s">
        <v>8</v>
      </c>
      <c r="C5" s="35" t="s">
        <v>28</v>
      </c>
      <c r="D5" s="35" t="s">
        <v>29</v>
      </c>
      <c r="E5" s="35" t="s">
        <v>30</v>
      </c>
      <c r="F5" s="35" t="s">
        <v>31</v>
      </c>
    </row>
    <row r="6" customFormat="false" ht="15" hidden="false" customHeight="true" outlineLevel="0" collapsed="false">
      <c r="A6" s="1" t="s">
        <v>32</v>
      </c>
      <c r="B6" s="1" t="s">
        <v>33</v>
      </c>
      <c r="C6" s="36" t="n">
        <f aca="false">SUMIFS(Datos_Crudos!$L:$L,Datos_Crudos!$H:$H,$A6)</f>
        <v>522</v>
      </c>
      <c r="D6" s="37" t="n">
        <f aca="false">SUMIFS(Datos_Crudos!$Q:$Q,Datos_Crudos!$H:$H,$A6)</f>
        <v>44641118.62</v>
      </c>
      <c r="E6" s="37" t="n">
        <f aca="false">SUMIFS(Datos_Crudos!$R:$R,Datos_Crudos!$H:$H,$A6)</f>
        <v>13525264.89</v>
      </c>
      <c r="F6" s="37" t="n">
        <f aca="false">IFERROR($D6/$C6,0)</f>
        <v>85519.3843295019</v>
      </c>
    </row>
    <row r="7" customFormat="false" ht="15" hidden="false" customHeight="true" outlineLevel="0" collapsed="false">
      <c r="A7" s="1" t="s">
        <v>34</v>
      </c>
      <c r="B7" s="1" t="s">
        <v>33</v>
      </c>
      <c r="C7" s="36" t="n">
        <f aca="false">SUMIFS(Datos_Crudos!$L:$L,Datos_Crudos!$H:$H,$A7)</f>
        <v>896</v>
      </c>
      <c r="D7" s="37" t="n">
        <f aca="false">SUMIFS(Datos_Crudos!$Q:$Q,Datos_Crudos!$H:$H,$A7)</f>
        <v>70563335.74</v>
      </c>
      <c r="E7" s="37" t="n">
        <f aca="false">SUMIFS(Datos_Crudos!$R:$R,Datos_Crudos!$H:$H,$A7)</f>
        <v>22301134.65</v>
      </c>
      <c r="F7" s="37" t="n">
        <f aca="false">IFERROR($D7/$C7,0)</f>
        <v>78753.7229241071</v>
      </c>
    </row>
    <row r="8" customFormat="false" ht="15" hidden="false" customHeight="true" outlineLevel="0" collapsed="false">
      <c r="A8" s="1" t="s">
        <v>35</v>
      </c>
      <c r="B8" s="1" t="s">
        <v>33</v>
      </c>
      <c r="C8" s="36" t="n">
        <f aca="false">SUMIFS(Datos_Crudos!$L:$L,Datos_Crudos!$H:$H,$A8)</f>
        <v>1009</v>
      </c>
      <c r="D8" s="37" t="n">
        <f aca="false">SUMIFS(Datos_Crudos!$Q:$Q,Datos_Crudos!$H:$H,$A8)</f>
        <v>116500206.09</v>
      </c>
      <c r="E8" s="37" t="n">
        <f aca="false">SUMIFS(Datos_Crudos!$R:$R,Datos_Crudos!$H:$H,$A8)</f>
        <v>42776574.38</v>
      </c>
      <c r="F8" s="37" t="n">
        <f aca="false">IFERROR($D8/$C8,0)</f>
        <v>115461.056580773</v>
      </c>
    </row>
    <row r="9" customFormat="false" ht="15" hidden="false" customHeight="true" outlineLevel="0" collapsed="false">
      <c r="A9" s="1" t="s">
        <v>36</v>
      </c>
      <c r="B9" s="1" t="s">
        <v>33</v>
      </c>
      <c r="C9" s="36" t="n">
        <f aca="false">SUMIFS(Datos_Crudos!$L:$L,Datos_Crudos!$H:$H,$A9)</f>
        <v>1347</v>
      </c>
      <c r="D9" s="37" t="n">
        <f aca="false">SUMIFS(Datos_Crudos!$Q:$Q,Datos_Crudos!$H:$H,$A9)</f>
        <v>136410041.51</v>
      </c>
      <c r="E9" s="37" t="n">
        <f aca="false">SUMIFS(Datos_Crudos!$R:$R,Datos_Crudos!$H:$H,$A9)</f>
        <v>48935362.98</v>
      </c>
      <c r="F9" s="37" t="n">
        <f aca="false">IFERROR($D9/$C9,0)</f>
        <v>101269.518567186</v>
      </c>
    </row>
    <row r="10" customFormat="false" ht="15" hidden="false" customHeight="true" outlineLevel="0" collapsed="false">
      <c r="A10" s="1" t="s">
        <v>37</v>
      </c>
      <c r="B10" s="1" t="s">
        <v>38</v>
      </c>
      <c r="C10" s="36" t="n">
        <f aca="false">SUMIFS(Datos_Crudos!$L:$L,Datos_Crudos!$H:$H,$A10)</f>
        <v>717</v>
      </c>
      <c r="D10" s="37" t="n">
        <f aca="false">SUMIFS(Datos_Crudos!$Q:$Q,Datos_Crudos!$H:$H,$A10)</f>
        <v>56285392.56</v>
      </c>
      <c r="E10" s="37" t="n">
        <f aca="false">SUMIFS(Datos_Crudos!$R:$R,Datos_Crudos!$H:$H,$A10)</f>
        <v>17910219.49</v>
      </c>
      <c r="F10" s="37" t="n">
        <f aca="false">IFERROR($D10/$C10,0)</f>
        <v>78501.2448535565</v>
      </c>
    </row>
    <row r="11" customFormat="false" ht="15" hidden="false" customHeight="true" outlineLevel="0" collapsed="false">
      <c r="A11" s="1" t="s">
        <v>39</v>
      </c>
      <c r="B11" s="1" t="s">
        <v>38</v>
      </c>
      <c r="C11" s="36" t="n">
        <f aca="false">SUMIFS(Datos_Crudos!$L:$L,Datos_Crudos!$H:$H,$A11)</f>
        <v>783</v>
      </c>
      <c r="D11" s="37" t="n">
        <f aca="false">SUMIFS(Datos_Crudos!$Q:$Q,Datos_Crudos!$H:$H,$A11)</f>
        <v>74942474</v>
      </c>
      <c r="E11" s="37" t="n">
        <f aca="false">SUMIFS(Datos_Crudos!$R:$R,Datos_Crudos!$H:$H,$A11)</f>
        <v>26309455.72</v>
      </c>
      <c r="F11" s="37" t="n">
        <f aca="false">IFERROR($D11/$C11,0)</f>
        <v>95711.9719029374</v>
      </c>
    </row>
    <row r="12" customFormat="false" ht="15" hidden="false" customHeight="true" outlineLevel="0" collapsed="false">
      <c r="A12" s="1" t="s">
        <v>40</v>
      </c>
      <c r="B12" s="1" t="s">
        <v>41</v>
      </c>
      <c r="C12" s="36" t="n">
        <f aca="false">SUMIFS(Datos_Crudos!$L:$L,Datos_Crudos!$H:$H,$A12)</f>
        <v>301</v>
      </c>
      <c r="D12" s="37" t="n">
        <f aca="false">SUMIFS(Datos_Crudos!$Q:$Q,Datos_Crudos!$H:$H,$A12)</f>
        <v>20274678.2</v>
      </c>
      <c r="E12" s="37" t="n">
        <f aca="false">SUMIFS(Datos_Crudos!$R:$R,Datos_Crudos!$H:$H,$A12)</f>
        <v>6055507.56</v>
      </c>
      <c r="F12" s="37" t="n">
        <f aca="false">IFERROR($D12/$C12,0)</f>
        <v>67357.7348837209</v>
      </c>
    </row>
    <row r="13" customFormat="false" ht="15" hidden="false" customHeight="true" outlineLevel="0" collapsed="false">
      <c r="A13" s="1" t="s">
        <v>42</v>
      </c>
      <c r="B13" s="1" t="s">
        <v>33</v>
      </c>
      <c r="C13" s="36" t="n">
        <f aca="false">SUMIFS(Datos_Crudos!$L:$L,Datos_Crudos!$H:$H,$A13)</f>
        <v>714</v>
      </c>
      <c r="D13" s="37" t="n">
        <f aca="false">SUMIFS(Datos_Crudos!$Q:$Q,Datos_Crudos!$H:$H,$A13)</f>
        <v>53910056.21</v>
      </c>
      <c r="E13" s="37" t="n">
        <f aca="false">SUMIFS(Datos_Crudos!$R:$R,Datos_Crudos!$H:$H,$A13)</f>
        <v>20843075.65</v>
      </c>
      <c r="F13" s="37" t="n">
        <f aca="false">IFERROR($D13/$C13,0)</f>
        <v>75504.2804061625</v>
      </c>
    </row>
    <row r="14" customFormat="false" ht="15" hidden="false" customHeight="true" outlineLevel="0" collapsed="false">
      <c r="A14" s="1" t="s">
        <v>43</v>
      </c>
      <c r="B14" s="1" t="s">
        <v>33</v>
      </c>
      <c r="C14" s="36" t="n">
        <f aca="false">SUMIFS(Datos_Crudos!$L:$L,Datos_Crudos!$H:$H,$A14)</f>
        <v>955</v>
      </c>
      <c r="D14" s="37" t="n">
        <f aca="false">SUMIFS(Datos_Crudos!$Q:$Q,Datos_Crudos!$H:$H,$A14)</f>
        <v>79120953.72</v>
      </c>
      <c r="E14" s="37" t="n">
        <f aca="false">SUMIFS(Datos_Crudos!$R:$R,Datos_Crudos!$H:$H,$A14)</f>
        <v>23477805.41</v>
      </c>
      <c r="F14" s="37" t="n">
        <f aca="false">IFERROR($D14/$C14,0)</f>
        <v>82849.1661989529</v>
      </c>
    </row>
    <row r="15" customFormat="false" ht="15" hidden="false" customHeight="true" outlineLevel="0" collapsed="false">
      <c r="A15" s="1" t="s">
        <v>44</v>
      </c>
      <c r="B15" s="1" t="s">
        <v>41</v>
      </c>
      <c r="C15" s="36" t="n">
        <f aca="false">SUMIFS(Datos_Crudos!$L:$L,Datos_Crudos!$H:$H,$A15)</f>
        <v>1744</v>
      </c>
      <c r="D15" s="37" t="n">
        <f aca="false">SUMIFS(Datos_Crudos!$Q:$Q,Datos_Crudos!$H:$H,$A15)</f>
        <v>174183957.92</v>
      </c>
      <c r="E15" s="37" t="n">
        <f aca="false">SUMIFS(Datos_Crudos!$R:$R,Datos_Crudos!$H:$H,$A15)</f>
        <v>64604358.71</v>
      </c>
      <c r="F15" s="37" t="n">
        <f aca="false">IFERROR($D15/$C15,0)</f>
        <v>99876.1226605505</v>
      </c>
    </row>
    <row r="16" customFormat="false" ht="15" hidden="false" customHeight="true" outlineLevel="0" collapsed="false">
      <c r="A16" s="1" t="s">
        <v>45</v>
      </c>
      <c r="B16" s="1" t="s">
        <v>38</v>
      </c>
      <c r="C16" s="36" t="n">
        <f aca="false">SUMIFS(Datos_Crudos!$L:$L,Datos_Crudos!$H:$H,$A16)</f>
        <v>1367</v>
      </c>
      <c r="D16" s="37" t="n">
        <f aca="false">SUMIFS(Datos_Crudos!$Q:$Q,Datos_Crudos!$H:$H,$A16)</f>
        <v>75854179.51</v>
      </c>
      <c r="E16" s="37" t="n">
        <f aca="false">SUMIFS(Datos_Crudos!$R:$R,Datos_Crudos!$H:$H,$A16)</f>
        <v>22122417.23</v>
      </c>
      <c r="F16" s="37" t="n">
        <f aca="false">IFERROR($D16/$C16,0)</f>
        <v>55489.5241477688</v>
      </c>
    </row>
    <row r="17" customFormat="false" ht="15" hidden="false" customHeight="true" outlineLevel="0" collapsed="false">
      <c r="A17" s="1" t="s">
        <v>46</v>
      </c>
      <c r="B17" s="1" t="s">
        <v>33</v>
      </c>
      <c r="C17" s="36" t="n">
        <f aca="false">SUMIFS(Datos_Crudos!$L:$L,Datos_Crudos!$H:$H,$A17)</f>
        <v>841</v>
      </c>
      <c r="D17" s="37" t="n">
        <f aca="false">SUMIFS(Datos_Crudos!$Q:$Q,Datos_Crudos!$H:$H,$A17)</f>
        <v>84910389.79</v>
      </c>
      <c r="E17" s="37" t="n">
        <f aca="false">SUMIFS(Datos_Crudos!$R:$R,Datos_Crudos!$H:$H,$A17)</f>
        <v>35104848.06</v>
      </c>
      <c r="F17" s="37" t="n">
        <f aca="false">IFERROR($D17/$C17,0)</f>
        <v>100963.602604043</v>
      </c>
    </row>
    <row r="20" customFormat="false" ht="15" hidden="false" customHeight="true" outlineLevel="0" collapsed="false">
      <c r="A20" s="33" t="s">
        <v>47</v>
      </c>
      <c r="B20" s="33"/>
      <c r="C20" s="33"/>
      <c r="D20" s="33"/>
      <c r="E20" s="33"/>
      <c r="F20" s="33"/>
      <c r="G20" s="33"/>
      <c r="H20" s="33"/>
    </row>
  </sheetData>
  <mergeCells count="4">
    <mergeCell ref="A1:H1"/>
    <mergeCell ref="A2:D3"/>
    <mergeCell ref="E2:H3"/>
    <mergeCell ref="A20:H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6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7" min="7" style="1" width="12.38"/>
    <col collapsed="false" customWidth="true" hidden="false" outlineLevel="0" max="8" min="8" style="1" width="42"/>
  </cols>
  <sheetData>
    <row r="1" customFormat="false" ht="24" hidden="false" customHeight="true" outlineLevel="0" collapsed="false">
      <c r="A1" s="38" t="s">
        <v>48</v>
      </c>
      <c r="B1" s="38"/>
      <c r="C1" s="38"/>
      <c r="D1" s="38"/>
      <c r="E1" s="38"/>
    </row>
    <row r="3" customFormat="false" ht="19.5" hidden="false" customHeight="true" outlineLevel="0" collapsed="false">
      <c r="A3" s="35" t="s">
        <v>6</v>
      </c>
      <c r="B3" s="35" t="s">
        <v>29</v>
      </c>
      <c r="C3" s="35" t="s">
        <v>30</v>
      </c>
      <c r="D3" s="35" t="s">
        <v>28</v>
      </c>
      <c r="E3" s="35" t="s">
        <v>31</v>
      </c>
      <c r="G3" s="39" t="s">
        <v>49</v>
      </c>
      <c r="H3" s="39"/>
    </row>
    <row r="4" customFormat="false" ht="19.5" hidden="false" customHeight="true" outlineLevel="0" collapsed="false">
      <c r="A4" s="1" t="s">
        <v>50</v>
      </c>
      <c r="B4" s="37" t="n">
        <f aca="false">SUMIFS(Datos_Crudos!$Q:$Q,Datos_Crudos!$C:$C,$A4)</f>
        <v>74587317.64</v>
      </c>
      <c r="C4" s="37" t="n">
        <f aca="false">SUMIFS(Datos_Crudos!$R:$R,Datos_Crudos!$C:$C,$A4)</f>
        <v>25491254.12</v>
      </c>
      <c r="D4" s="36" t="n">
        <f aca="false">SUMIFS(Datos_Crudos!$L:$L,Datos_Crudos!$C:$C,$A4)</f>
        <v>735</v>
      </c>
      <c r="E4" s="37" t="n">
        <f aca="false">IFERROR($B4/$D4,0)</f>
        <v>101479.343727891</v>
      </c>
      <c r="G4" s="40" t="s">
        <v>51</v>
      </c>
      <c r="H4" s="41" t="s">
        <v>52</v>
      </c>
    </row>
    <row r="5" customFormat="false" ht="19.5" hidden="false" customHeight="true" outlineLevel="0" collapsed="false">
      <c r="A5" s="1" t="s">
        <v>53</v>
      </c>
      <c r="B5" s="37" t="n">
        <f aca="false">SUMIFS(Datos_Crudos!$Q:$Q,Datos_Crudos!$C:$C,$A5)</f>
        <v>59788145.6</v>
      </c>
      <c r="C5" s="37" t="n">
        <f aca="false">SUMIFS(Datos_Crudos!$R:$R,Datos_Crudos!$C:$C,$A5)</f>
        <v>16555684.98</v>
      </c>
      <c r="D5" s="36" t="n">
        <f aca="false">SUMIFS(Datos_Crudos!$L:$L,Datos_Crudos!$C:$C,$A5)</f>
        <v>961</v>
      </c>
      <c r="E5" s="37" t="n">
        <f aca="false">IFERROR($B5/$D5,0)</f>
        <v>62214.5115504683</v>
      </c>
      <c r="G5" s="40" t="s">
        <v>54</v>
      </c>
      <c r="H5" s="41" t="s">
        <v>55</v>
      </c>
    </row>
    <row r="6" customFormat="false" ht="19.5" hidden="false" customHeight="true" outlineLevel="0" collapsed="false">
      <c r="A6" s="1" t="s">
        <v>56</v>
      </c>
      <c r="B6" s="37" t="n">
        <f aca="false">SUMIFS(Datos_Crudos!$Q:$Q,Datos_Crudos!$C:$C,$A6)</f>
        <v>95487410.27</v>
      </c>
      <c r="C6" s="37" t="n">
        <f aca="false">SUMIFS(Datos_Crudos!$R:$R,Datos_Crudos!$C:$C,$A6)</f>
        <v>36813684.43</v>
      </c>
      <c r="D6" s="36" t="n">
        <f aca="false">SUMIFS(Datos_Crudos!$L:$L,Datos_Crudos!$C:$C,$A6)</f>
        <v>1122</v>
      </c>
      <c r="E6" s="37" t="n">
        <f aca="false">IFERROR($B6/$D6,0)</f>
        <v>85104.6437344029</v>
      </c>
      <c r="G6" s="40" t="s">
        <v>57</v>
      </c>
      <c r="H6" s="41" t="s">
        <v>58</v>
      </c>
    </row>
    <row r="7" customFormat="false" ht="19.5" hidden="false" customHeight="true" outlineLevel="0" collapsed="false">
      <c r="A7" s="1" t="s">
        <v>59</v>
      </c>
      <c r="B7" s="37" t="n">
        <f aca="false">SUMIFS(Datos_Crudos!$Q:$Q,Datos_Crudos!$C:$C,$A7)</f>
        <v>50180273.45</v>
      </c>
      <c r="C7" s="37" t="n">
        <f aca="false">SUMIFS(Datos_Crudos!$R:$R,Datos_Crudos!$C:$C,$A7)</f>
        <v>15001025.7</v>
      </c>
      <c r="D7" s="36" t="n">
        <f aca="false">SUMIFS(Datos_Crudos!$L:$L,Datos_Crudos!$C:$C,$A7)</f>
        <v>564</v>
      </c>
      <c r="E7" s="37" t="n">
        <f aca="false">IFERROR($B7/$D7,0)</f>
        <v>88972.1160460993</v>
      </c>
      <c r="G7" s="40" t="s">
        <v>60</v>
      </c>
      <c r="H7" s="41" t="s">
        <v>61</v>
      </c>
    </row>
    <row r="8" customFormat="false" ht="19.5" hidden="false" customHeight="true" outlineLevel="0" collapsed="false">
      <c r="A8" s="1" t="s">
        <v>62</v>
      </c>
      <c r="B8" s="37" t="n">
        <f aca="false">SUMIFS(Datos_Crudos!$Q:$Q,Datos_Crudos!$C:$C,$A8)</f>
        <v>63280395.8</v>
      </c>
      <c r="C8" s="37" t="n">
        <f aca="false">SUMIFS(Datos_Crudos!$R:$R,Datos_Crudos!$C:$C,$A8)</f>
        <v>23107821.64</v>
      </c>
      <c r="D8" s="36" t="n">
        <f aca="false">SUMIFS(Datos_Crudos!$L:$L,Datos_Crudos!$C:$C,$A8)</f>
        <v>804</v>
      </c>
      <c r="E8" s="37" t="n">
        <f aca="false">IFERROR($B8/$D8,0)</f>
        <v>78706.9599502488</v>
      </c>
      <c r="G8" s="40" t="s">
        <v>63</v>
      </c>
      <c r="H8" s="41" t="s">
        <v>64</v>
      </c>
    </row>
    <row r="9" customFormat="false" ht="15" hidden="false" customHeight="true" outlineLevel="0" collapsed="false">
      <c r="A9" s="1" t="s">
        <v>65</v>
      </c>
      <c r="B9" s="37" t="n">
        <f aca="false">SUMIFS(Datos_Crudos!$Q:$Q,Datos_Crudos!$C:$C,$A9)</f>
        <v>93736031.26</v>
      </c>
      <c r="C9" s="37" t="n">
        <f aca="false">SUMIFS(Datos_Crudos!$R:$R,Datos_Crudos!$C:$C,$A9)</f>
        <v>34250147.21</v>
      </c>
      <c r="D9" s="36" t="n">
        <f aca="false">SUMIFS(Datos_Crudos!$L:$L,Datos_Crudos!$C:$C,$A9)</f>
        <v>1112</v>
      </c>
      <c r="E9" s="37" t="n">
        <f aca="false">IFERROR($B9/$D9,0)</f>
        <v>84294.9921402878</v>
      </c>
    </row>
    <row r="10" customFormat="false" ht="27.75" hidden="false" customHeight="true" outlineLevel="0" collapsed="false">
      <c r="A10" s="1" t="s">
        <v>66</v>
      </c>
      <c r="B10" s="37" t="n">
        <f aca="false">SUMIFS(Datos_Crudos!$Q:$Q,Datos_Crudos!$C:$C,$A10)</f>
        <v>125018944.84</v>
      </c>
      <c r="C10" s="37" t="n">
        <f aca="false">SUMIFS(Datos_Crudos!$R:$R,Datos_Crudos!$C:$C,$A10)</f>
        <v>45527916.8</v>
      </c>
      <c r="D10" s="36" t="n">
        <f aca="false">SUMIFS(Datos_Crudos!$L:$L,Datos_Crudos!$C:$C,$A10)</f>
        <v>1376</v>
      </c>
      <c r="E10" s="37" t="n">
        <f aca="false">IFERROR($B10/$D10,0)</f>
        <v>90856.7913081395</v>
      </c>
      <c r="G10" s="41" t="s">
        <v>67</v>
      </c>
      <c r="H10" s="41" t="s">
        <v>68</v>
      </c>
    </row>
    <row r="11" customFormat="false" ht="15" hidden="false" customHeight="true" outlineLevel="0" collapsed="false">
      <c r="A11" s="1" t="s">
        <v>69</v>
      </c>
      <c r="B11" s="37" t="n">
        <f aca="false">SUMIFS(Datos_Crudos!$Q:$Q,Datos_Crudos!$C:$C,$A11)</f>
        <v>62673740.61</v>
      </c>
      <c r="C11" s="37" t="n">
        <f aca="false">SUMIFS(Datos_Crudos!$R:$R,Datos_Crudos!$C:$C,$A11)</f>
        <v>19261077.99</v>
      </c>
      <c r="D11" s="36" t="n">
        <f aca="false">SUMIFS(Datos_Crudos!$L:$L,Datos_Crudos!$C:$C,$A11)</f>
        <v>668</v>
      </c>
      <c r="E11" s="37" t="n">
        <f aca="false">IFERROR($B11/$D11,0)</f>
        <v>93822.9649850299</v>
      </c>
      <c r="G11" s="41" t="s">
        <v>70</v>
      </c>
      <c r="H11" s="41" t="s">
        <v>71</v>
      </c>
    </row>
    <row r="12" customFormat="false" ht="15" hidden="false" customHeight="true" outlineLevel="0" collapsed="false">
      <c r="A12" s="1" t="s">
        <v>72</v>
      </c>
      <c r="B12" s="37" t="n">
        <f aca="false">SUMIFS(Datos_Crudos!$Q:$Q,Datos_Crudos!$C:$C,$A12)</f>
        <v>59677426.87</v>
      </c>
      <c r="C12" s="37" t="n">
        <f aca="false">SUMIFS(Datos_Crudos!$R:$R,Datos_Crudos!$C:$C,$A12)</f>
        <v>16746028.62</v>
      </c>
      <c r="D12" s="36" t="n">
        <f aca="false">SUMIFS(Datos_Crudos!$L:$L,Datos_Crudos!$C:$C,$A12)</f>
        <v>675</v>
      </c>
      <c r="E12" s="37" t="n">
        <f aca="false">IFERROR($B12/$D12,0)</f>
        <v>88411.0027703704</v>
      </c>
      <c r="G12" s="41" t="s">
        <v>73</v>
      </c>
      <c r="H12" s="41" t="s">
        <v>74</v>
      </c>
    </row>
    <row r="13" customFormat="false" ht="15" hidden="false" customHeight="true" outlineLevel="0" collapsed="false">
      <c r="A13" s="1" t="s">
        <v>75</v>
      </c>
      <c r="B13" s="37" t="n">
        <f aca="false">SUMIFS(Datos_Crudos!$Q:$Q,Datos_Crudos!$C:$C,$A13)</f>
        <v>86928101.59</v>
      </c>
      <c r="C13" s="37" t="n">
        <f aca="false">SUMIFS(Datos_Crudos!$R:$R,Datos_Crudos!$C:$C,$A13)</f>
        <v>26810874.21</v>
      </c>
      <c r="D13" s="36" t="n">
        <f aca="false">SUMIFS(Datos_Crudos!$L:$L,Datos_Crudos!$C:$C,$A13)</f>
        <v>763</v>
      </c>
      <c r="E13" s="37" t="n">
        <f aca="false">IFERROR($B13/$D13,0)</f>
        <v>113929.359882045</v>
      </c>
    </row>
    <row r="14" customFormat="false" ht="15" hidden="false" customHeight="true" outlineLevel="0" collapsed="false">
      <c r="A14" s="1" t="s">
        <v>76</v>
      </c>
      <c r="B14" s="37" t="n">
        <f aca="false">SUMIFS(Datos_Crudos!$Q:$Q,Datos_Crudos!$C:$C,$A14)</f>
        <v>100789415.47</v>
      </c>
      <c r="C14" s="37" t="n">
        <f aca="false">SUMIFS(Datos_Crudos!$R:$R,Datos_Crudos!$C:$C,$A14)</f>
        <v>36077854.6</v>
      </c>
      <c r="D14" s="36" t="n">
        <f aca="false">SUMIFS(Datos_Crudos!$L:$L,Datos_Crudos!$C:$C,$A14)</f>
        <v>1297</v>
      </c>
      <c r="E14" s="37" t="n">
        <f aca="false">IFERROR($B14/$D14,0)</f>
        <v>77709.6495528142</v>
      </c>
    </row>
    <row r="15" customFormat="false" ht="15" hidden="false" customHeight="true" outlineLevel="0" collapsed="false">
      <c r="A15" s="1" t="s">
        <v>77</v>
      </c>
      <c r="B15" s="37" t="n">
        <f aca="false">SUMIFS(Datos_Crudos!$Q:$Q,Datos_Crudos!$C:$C,$A15)</f>
        <v>115449580.47</v>
      </c>
      <c r="C15" s="37" t="n">
        <f aca="false">SUMIFS(Datos_Crudos!$R:$R,Datos_Crudos!$C:$C,$A15)</f>
        <v>48322654.43</v>
      </c>
      <c r="D15" s="36" t="n">
        <f aca="false">SUMIFS(Datos_Crudos!$L:$L,Datos_Crudos!$C:$C,$A15)</f>
        <v>1119</v>
      </c>
      <c r="E15" s="37" t="n">
        <f aca="false">IFERROR($B15/$D15,0)</f>
        <v>103172.100509383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7" min="6" style="1" width="16"/>
    <col collapsed="false" customWidth="true" hidden="false" outlineLevel="0" max="8" min="8" style="1" width="18"/>
    <col collapsed="false" customWidth="true" hidden="false" outlineLevel="0" max="11" min="9" style="1" width="16"/>
    <col collapsed="false" customWidth="true" hidden="false" outlineLevel="0" max="12" min="12" style="1" width="10"/>
    <col collapsed="false" customWidth="true" hidden="false" outlineLevel="0" max="14" min="13" style="1" width="12"/>
    <col collapsed="false" customWidth="true" hidden="false" outlineLevel="0" max="19" min="15" style="1" width="14"/>
  </cols>
  <sheetData>
    <row r="1" customFormat="false" ht="15" hidden="false" customHeight="true" outlineLevel="0" collapsed="false">
      <c r="A1" s="42" t="s">
        <v>78</v>
      </c>
      <c r="B1" s="42" t="s">
        <v>79</v>
      </c>
      <c r="C1" s="42" t="s">
        <v>6</v>
      </c>
      <c r="D1" s="42" t="s">
        <v>80</v>
      </c>
      <c r="E1" s="42" t="s">
        <v>7</v>
      </c>
      <c r="F1" s="42" t="s">
        <v>81</v>
      </c>
      <c r="G1" s="42" t="s">
        <v>82</v>
      </c>
      <c r="H1" s="42" t="s">
        <v>27</v>
      </c>
      <c r="I1" s="42" t="s">
        <v>8</v>
      </c>
      <c r="J1" s="42" t="s">
        <v>83</v>
      </c>
      <c r="K1" s="42" t="s">
        <v>84</v>
      </c>
      <c r="L1" s="42" t="s">
        <v>28</v>
      </c>
      <c r="M1" s="42" t="s">
        <v>85</v>
      </c>
      <c r="N1" s="42" t="s">
        <v>86</v>
      </c>
      <c r="O1" s="42" t="s">
        <v>87</v>
      </c>
      <c r="P1" s="42" t="s">
        <v>88</v>
      </c>
      <c r="Q1" s="42" t="s">
        <v>29</v>
      </c>
      <c r="R1" s="42" t="s">
        <v>30</v>
      </c>
      <c r="S1" s="42" t="s">
        <v>89</v>
      </c>
    </row>
    <row r="2" customFormat="false" ht="15" hidden="false" customHeight="true" outlineLevel="0" collapsed="false">
      <c r="A2" s="43" t="n">
        <v>45295</v>
      </c>
      <c r="B2" s="1" t="n">
        <v>2024</v>
      </c>
      <c r="C2" s="1" t="s">
        <v>50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45</v>
      </c>
      <c r="I2" s="1" t="s">
        <v>94</v>
      </c>
      <c r="J2" s="1" t="s">
        <v>95</v>
      </c>
      <c r="K2" s="1" t="s">
        <v>96</v>
      </c>
      <c r="L2" s="1" t="n">
        <v>9</v>
      </c>
      <c r="M2" s="37" t="n">
        <v>154964</v>
      </c>
      <c r="N2" s="44" t="n">
        <v>0.08</v>
      </c>
      <c r="O2" s="1" t="n">
        <v>71457.61</v>
      </c>
      <c r="P2" s="37" t="n">
        <v>1394676</v>
      </c>
      <c r="Q2" s="37" t="n">
        <v>1283101.92</v>
      </c>
      <c r="R2" s="37" t="n">
        <v>639983.43</v>
      </c>
      <c r="S2" s="1" t="s">
        <v>97</v>
      </c>
    </row>
    <row r="3" customFormat="false" ht="15" hidden="false" customHeight="true" outlineLevel="0" collapsed="false">
      <c r="A3" s="43" t="n">
        <v>45340</v>
      </c>
      <c r="B3" s="1" t="n">
        <v>2024</v>
      </c>
      <c r="C3" s="1" t="s">
        <v>53</v>
      </c>
      <c r="D3" s="1" t="s">
        <v>90</v>
      </c>
      <c r="E3" s="1" t="s">
        <v>98</v>
      </c>
      <c r="F3" s="1" t="s">
        <v>99</v>
      </c>
      <c r="G3" s="1" t="s">
        <v>100</v>
      </c>
      <c r="H3" s="1" t="s">
        <v>46</v>
      </c>
      <c r="I3" s="1" t="s">
        <v>101</v>
      </c>
      <c r="J3" s="1" t="s">
        <v>102</v>
      </c>
      <c r="K3" s="1" t="s">
        <v>103</v>
      </c>
      <c r="L3" s="1" t="n">
        <v>1</v>
      </c>
      <c r="M3" s="37" t="n">
        <v>53853</v>
      </c>
      <c r="N3" s="44"/>
      <c r="O3" s="1" t="n">
        <v>29471.32</v>
      </c>
      <c r="P3" s="37" t="n">
        <v>53853</v>
      </c>
      <c r="Q3" s="37" t="n">
        <v>53853</v>
      </c>
      <c r="R3" s="37" t="n">
        <v>24381.68</v>
      </c>
      <c r="S3" s="1" t="s">
        <v>104</v>
      </c>
    </row>
    <row r="4" customFormat="false" ht="15" hidden="false" customHeight="true" outlineLevel="0" collapsed="false">
      <c r="A4" s="43" t="n">
        <v>45360</v>
      </c>
      <c r="B4" s="1" t="n">
        <v>2024</v>
      </c>
      <c r="C4" s="1" t="s">
        <v>56</v>
      </c>
      <c r="D4" s="1" t="s">
        <v>90</v>
      </c>
      <c r="E4" s="1" t="s">
        <v>105</v>
      </c>
      <c r="F4" s="1" t="s">
        <v>106</v>
      </c>
      <c r="G4" s="1" t="s">
        <v>107</v>
      </c>
      <c r="H4" s="1" t="s">
        <v>44</v>
      </c>
      <c r="I4" s="1" t="s">
        <v>108</v>
      </c>
      <c r="J4" s="1" t="s">
        <v>109</v>
      </c>
      <c r="K4" s="1" t="s">
        <v>110</v>
      </c>
      <c r="L4" s="1" t="n">
        <v>8</v>
      </c>
      <c r="M4" s="37" t="n">
        <v>111230</v>
      </c>
      <c r="N4" s="44" t="n">
        <v>0.2</v>
      </c>
      <c r="O4" s="1" t="n">
        <v>82342.64</v>
      </c>
      <c r="P4" s="37" t="n">
        <v>889840</v>
      </c>
      <c r="Q4" s="37" t="n">
        <v>711872</v>
      </c>
      <c r="R4" s="37" t="n">
        <v>53130.88</v>
      </c>
      <c r="S4" s="1" t="s">
        <v>111</v>
      </c>
    </row>
    <row r="5" customFormat="false" ht="15" hidden="false" customHeight="true" outlineLevel="0" collapsed="false">
      <c r="A5" s="43" t="n">
        <v>45407</v>
      </c>
      <c r="B5" s="1" t="n">
        <v>2024</v>
      </c>
      <c r="C5" s="1" t="s">
        <v>59</v>
      </c>
      <c r="D5" s="1" t="s">
        <v>112</v>
      </c>
      <c r="E5" s="1" t="s">
        <v>113</v>
      </c>
      <c r="F5" s="1" t="s">
        <v>114</v>
      </c>
      <c r="G5" s="1" t="s">
        <v>115</v>
      </c>
      <c r="H5" s="1" t="s">
        <v>36</v>
      </c>
      <c r="I5" s="1" t="s">
        <v>116</v>
      </c>
      <c r="J5" s="1" t="s">
        <v>117</v>
      </c>
      <c r="K5" s="1" t="s">
        <v>118</v>
      </c>
      <c r="L5" s="1" t="n">
        <v>18</v>
      </c>
      <c r="M5" s="37" t="n">
        <v>107638</v>
      </c>
      <c r="N5" s="44"/>
      <c r="O5" s="1" t="n">
        <v>56329.92</v>
      </c>
      <c r="P5" s="37" t="n">
        <v>1937484</v>
      </c>
      <c r="Q5" s="37" t="n">
        <v>1937484</v>
      </c>
      <c r="R5" s="37" t="n">
        <v>923545.44</v>
      </c>
      <c r="S5" s="1" t="s">
        <v>119</v>
      </c>
    </row>
    <row r="6" customFormat="false" ht="15" hidden="false" customHeight="true" outlineLevel="0" collapsed="false">
      <c r="A6" s="43" t="n">
        <v>45420</v>
      </c>
      <c r="B6" s="1" t="n">
        <v>2024</v>
      </c>
      <c r="C6" s="1" t="s">
        <v>62</v>
      </c>
      <c r="D6" s="1" t="s">
        <v>112</v>
      </c>
      <c r="E6" s="1" t="s">
        <v>120</v>
      </c>
      <c r="F6" s="1" t="s">
        <v>121</v>
      </c>
      <c r="G6" s="1" t="s">
        <v>122</v>
      </c>
      <c r="H6" s="1" t="s">
        <v>46</v>
      </c>
      <c r="I6" s="1" t="s">
        <v>116</v>
      </c>
      <c r="J6" s="1" t="s">
        <v>102</v>
      </c>
      <c r="K6" s="1" t="s">
        <v>123</v>
      </c>
      <c r="L6" s="1" t="n">
        <v>36</v>
      </c>
      <c r="M6" s="37" t="n">
        <v>97008</v>
      </c>
      <c r="N6" s="44" t="n">
        <v>0</v>
      </c>
      <c r="O6" s="1" t="n">
        <v>51430.42</v>
      </c>
      <c r="P6" s="37" t="n">
        <v>3492288</v>
      </c>
      <c r="Q6" s="37" t="n">
        <v>3492288</v>
      </c>
      <c r="R6" s="37" t="n">
        <v>1640792.88</v>
      </c>
      <c r="S6" s="1" t="s">
        <v>97</v>
      </c>
    </row>
    <row r="7" customFormat="false" ht="15" hidden="false" customHeight="true" outlineLevel="0" collapsed="false">
      <c r="A7" s="43" t="n">
        <v>45454</v>
      </c>
      <c r="B7" s="1" t="n">
        <v>2024</v>
      </c>
      <c r="C7" s="1" t="s">
        <v>65</v>
      </c>
      <c r="D7" s="1" t="s">
        <v>112</v>
      </c>
      <c r="E7" s="1" t="s">
        <v>120</v>
      </c>
      <c r="F7" s="1" t="s">
        <v>92</v>
      </c>
      <c r="G7" s="1" t="s">
        <v>124</v>
      </c>
      <c r="H7" s="1" t="s">
        <v>46</v>
      </c>
      <c r="I7" s="1" t="s">
        <v>116</v>
      </c>
      <c r="J7" s="1" t="s">
        <v>102</v>
      </c>
      <c r="K7" s="1" t="s">
        <v>123</v>
      </c>
      <c r="L7" s="1" t="n">
        <v>30</v>
      </c>
      <c r="M7" s="37" t="n">
        <v>48603</v>
      </c>
      <c r="N7" s="44" t="n">
        <v>0.2</v>
      </c>
      <c r="O7" s="1" t="n">
        <v>34578.84</v>
      </c>
      <c r="P7" s="37" t="n">
        <v>1458090</v>
      </c>
      <c r="Q7" s="37" t="n">
        <v>1166472</v>
      </c>
      <c r="R7" s="37" t="n">
        <v>129106.8</v>
      </c>
      <c r="S7" s="1" t="s">
        <v>125</v>
      </c>
    </row>
    <row r="8" customFormat="false" ht="15" hidden="false" customHeight="true" outlineLevel="0" collapsed="false">
      <c r="A8" s="43" t="n">
        <v>45476</v>
      </c>
      <c r="B8" s="1" t="n">
        <v>2024</v>
      </c>
      <c r="C8" s="1" t="s">
        <v>66</v>
      </c>
      <c r="D8" s="1" t="s">
        <v>126</v>
      </c>
      <c r="E8" s="1" t="s">
        <v>105</v>
      </c>
      <c r="F8" s="1" t="s">
        <v>114</v>
      </c>
      <c r="G8" s="1" t="s">
        <v>127</v>
      </c>
      <c r="H8" s="1" t="s">
        <v>42</v>
      </c>
      <c r="I8" s="1" t="s">
        <v>116</v>
      </c>
      <c r="J8" s="1" t="s">
        <v>128</v>
      </c>
      <c r="K8" s="1" t="s">
        <v>123</v>
      </c>
      <c r="L8" s="1" t="n">
        <v>11</v>
      </c>
      <c r="M8" s="37" t="n">
        <v>122666</v>
      </c>
      <c r="N8" s="44"/>
      <c r="O8" s="1" t="n">
        <v>71583.8</v>
      </c>
      <c r="P8" s="37" t="n">
        <v>1349326</v>
      </c>
      <c r="Q8" s="37" t="n">
        <v>1241379.92</v>
      </c>
      <c r="R8" s="37" t="n">
        <v>453958.12</v>
      </c>
      <c r="S8" s="1" t="s">
        <v>125</v>
      </c>
    </row>
    <row r="9" customFormat="false" ht="15" hidden="false" customHeight="true" outlineLevel="0" collapsed="false">
      <c r="A9" s="43" t="n">
        <v>45526</v>
      </c>
      <c r="B9" s="1" t="n">
        <v>2024</v>
      </c>
      <c r="C9" s="1" t="s">
        <v>69</v>
      </c>
      <c r="D9" s="1" t="s">
        <v>126</v>
      </c>
      <c r="E9" s="1" t="s">
        <v>129</v>
      </c>
      <c r="F9" s="1" t="s">
        <v>130</v>
      </c>
      <c r="G9" s="1" t="s">
        <v>131</v>
      </c>
      <c r="H9" s="1" t="s">
        <v>34</v>
      </c>
      <c r="I9" s="1" t="s">
        <v>116</v>
      </c>
      <c r="J9" s="1" t="s">
        <v>132</v>
      </c>
      <c r="K9" s="1" t="s">
        <v>133</v>
      </c>
      <c r="L9" s="1" t="n">
        <v>28</v>
      </c>
      <c r="M9" s="37" t="n">
        <v>12850</v>
      </c>
      <c r="N9" s="44" t="n">
        <v>0.2</v>
      </c>
      <c r="O9" s="1" t="n">
        <v>10153.57</v>
      </c>
      <c r="P9" s="37" t="n">
        <v>359800</v>
      </c>
      <c r="Q9" s="37" t="n">
        <v>287840</v>
      </c>
      <c r="R9" s="37" t="n">
        <v>3540.04</v>
      </c>
      <c r="S9" s="1" t="s">
        <v>104</v>
      </c>
    </row>
    <row r="10" customFormat="false" ht="15" hidden="false" customHeight="true" outlineLevel="0" collapsed="false">
      <c r="A10" s="43" t="n">
        <v>45542</v>
      </c>
      <c r="B10" s="1" t="n">
        <v>2024</v>
      </c>
      <c r="C10" s="1" t="s">
        <v>72</v>
      </c>
      <c r="D10" s="1" t="s">
        <v>126</v>
      </c>
      <c r="E10" s="1" t="s">
        <v>120</v>
      </c>
      <c r="F10" s="1" t="s">
        <v>134</v>
      </c>
      <c r="G10" s="1" t="s">
        <v>135</v>
      </c>
      <c r="H10" s="1" t="s">
        <v>44</v>
      </c>
      <c r="I10" s="1" t="s">
        <v>108</v>
      </c>
      <c r="J10" s="1" t="s">
        <v>109</v>
      </c>
      <c r="K10" s="1" t="s">
        <v>103</v>
      </c>
      <c r="L10" s="1" t="n">
        <v>34</v>
      </c>
      <c r="M10" s="37" t="n">
        <v>169009</v>
      </c>
      <c r="N10" s="44" t="n">
        <v>0</v>
      </c>
      <c r="O10" s="1" t="n">
        <v>82671.38</v>
      </c>
      <c r="P10" s="37" t="n">
        <v>5746306</v>
      </c>
      <c r="Q10" s="37" t="n">
        <v>5746306</v>
      </c>
      <c r="R10" s="37" t="n">
        <v>2935479.08</v>
      </c>
      <c r="S10" s="1" t="s">
        <v>119</v>
      </c>
    </row>
    <row r="11" customFormat="false" ht="15" hidden="false" customHeight="true" outlineLevel="0" collapsed="false">
      <c r="A11" s="43" t="n">
        <v>45568</v>
      </c>
      <c r="B11" s="1" t="n">
        <v>2024</v>
      </c>
      <c r="C11" s="1" t="s">
        <v>75</v>
      </c>
      <c r="D11" s="1" t="s">
        <v>136</v>
      </c>
      <c r="E11" s="1" t="s">
        <v>137</v>
      </c>
      <c r="F11" s="1" t="s">
        <v>138</v>
      </c>
      <c r="G11" s="1" t="s">
        <v>139</v>
      </c>
      <c r="H11" s="1" t="s">
        <v>34</v>
      </c>
      <c r="I11" s="1" t="s">
        <v>33</v>
      </c>
      <c r="J11" s="1" t="s">
        <v>132</v>
      </c>
      <c r="K11" s="1" t="s">
        <v>103</v>
      </c>
      <c r="L11" s="1" t="n">
        <v>9</v>
      </c>
      <c r="M11" s="37" t="n">
        <v>136592</v>
      </c>
      <c r="N11" s="44" t="n">
        <v>0.1</v>
      </c>
      <c r="O11" s="1" t="n">
        <v>74138.02</v>
      </c>
      <c r="P11" s="37" t="n">
        <v>1229328</v>
      </c>
      <c r="Q11" s="37" t="n">
        <v>1106395.2</v>
      </c>
      <c r="R11" s="37" t="n">
        <v>439153.02</v>
      </c>
      <c r="S11" s="1" t="s">
        <v>111</v>
      </c>
    </row>
    <row r="12" customFormat="false" ht="15" hidden="false" customHeight="true" outlineLevel="0" collapsed="false">
      <c r="A12" s="43" t="n">
        <v>45606</v>
      </c>
      <c r="B12" s="1" t="n">
        <v>2024</v>
      </c>
      <c r="C12" s="1" t="s">
        <v>76</v>
      </c>
      <c r="D12" s="1" t="s">
        <v>136</v>
      </c>
      <c r="E12" s="1" t="s">
        <v>98</v>
      </c>
      <c r="F12" s="1" t="s">
        <v>140</v>
      </c>
      <c r="G12" s="1" t="s">
        <v>141</v>
      </c>
      <c r="H12" s="1" t="s">
        <v>46</v>
      </c>
      <c r="I12" s="1" t="s">
        <v>33</v>
      </c>
      <c r="J12" s="1" t="s">
        <v>102</v>
      </c>
      <c r="K12" s="1" t="s">
        <v>118</v>
      </c>
      <c r="L12" s="1" t="n">
        <v>34</v>
      </c>
      <c r="M12" s="37" t="n">
        <v>76986</v>
      </c>
      <c r="N12" s="44"/>
      <c r="O12" s="1" t="n">
        <v>35210.47</v>
      </c>
      <c r="P12" s="37" t="n">
        <v>2617524</v>
      </c>
      <c r="Q12" s="37" t="n">
        <v>2617524</v>
      </c>
      <c r="R12" s="37" t="n">
        <v>1420368.02</v>
      </c>
      <c r="S12" s="1" t="s">
        <v>111</v>
      </c>
    </row>
    <row r="13" customFormat="false" ht="15" hidden="false" customHeight="true" outlineLevel="0" collapsed="false">
      <c r="A13" s="43" t="n">
        <v>45628</v>
      </c>
      <c r="B13" s="1" t="n">
        <v>2024</v>
      </c>
      <c r="C13" s="1" t="s">
        <v>77</v>
      </c>
      <c r="D13" s="1" t="s">
        <v>136</v>
      </c>
      <c r="E13" s="1" t="s">
        <v>105</v>
      </c>
      <c r="F13" s="1" t="s">
        <v>134</v>
      </c>
      <c r="G13" s="1" t="s">
        <v>142</v>
      </c>
      <c r="H13" s="1" t="s">
        <v>34</v>
      </c>
      <c r="I13" s="1" t="s">
        <v>101</v>
      </c>
      <c r="J13" s="1" t="s">
        <v>132</v>
      </c>
      <c r="K13" s="1" t="s">
        <v>96</v>
      </c>
      <c r="L13" s="1" t="n">
        <v>18</v>
      </c>
      <c r="M13" s="37" t="n">
        <v>68160</v>
      </c>
      <c r="N13" s="44" t="n">
        <v>0.12</v>
      </c>
      <c r="O13" s="1" t="n">
        <v>36468.94</v>
      </c>
      <c r="P13" s="37" t="n">
        <v>1226880</v>
      </c>
      <c r="Q13" s="37" t="n">
        <v>1079654.4</v>
      </c>
      <c r="R13" s="37" t="n">
        <v>423213.48</v>
      </c>
      <c r="S13" s="1" t="s">
        <v>125</v>
      </c>
    </row>
    <row r="14" customFormat="false" ht="15" hidden="false" customHeight="true" outlineLevel="0" collapsed="false">
      <c r="A14" s="43" t="n">
        <v>45306</v>
      </c>
      <c r="B14" s="1" t="n">
        <v>2024</v>
      </c>
      <c r="C14" s="1" t="s">
        <v>50</v>
      </c>
      <c r="D14" s="1" t="s">
        <v>90</v>
      </c>
      <c r="E14" s="1" t="s">
        <v>105</v>
      </c>
      <c r="F14" s="1" t="s">
        <v>143</v>
      </c>
      <c r="G14" s="1" t="s">
        <v>115</v>
      </c>
      <c r="H14" s="1" t="s">
        <v>40</v>
      </c>
      <c r="I14" s="1" t="s">
        <v>144</v>
      </c>
      <c r="J14" s="1" t="s">
        <v>145</v>
      </c>
      <c r="K14" s="1" t="s">
        <v>146</v>
      </c>
      <c r="L14" s="1" t="n">
        <v>26</v>
      </c>
      <c r="M14" s="37" t="n">
        <v>40644</v>
      </c>
      <c r="N14" s="44" t="n">
        <v>0.15</v>
      </c>
      <c r="O14" s="1" t="n">
        <v>25918.68</v>
      </c>
      <c r="P14" s="37" t="n">
        <v>1056744</v>
      </c>
      <c r="Q14" s="37" t="n">
        <v>898232.4</v>
      </c>
      <c r="R14" s="37" t="n">
        <v>224346.72</v>
      </c>
      <c r="S14" s="1" t="s">
        <v>104</v>
      </c>
    </row>
    <row r="15" customFormat="false" ht="15" hidden="false" customHeight="true" outlineLevel="0" collapsed="false">
      <c r="A15" s="43" t="n">
        <v>45326</v>
      </c>
      <c r="B15" s="1" t="n">
        <v>2024</v>
      </c>
      <c r="C15" s="1" t="s">
        <v>53</v>
      </c>
      <c r="D15" s="1" t="s">
        <v>90</v>
      </c>
      <c r="E15" s="1" t="s">
        <v>91</v>
      </c>
      <c r="F15" s="1" t="s">
        <v>140</v>
      </c>
      <c r="G15" s="1" t="s">
        <v>147</v>
      </c>
      <c r="H15" s="1" t="s">
        <v>43</v>
      </c>
      <c r="I15" s="1" t="s">
        <v>101</v>
      </c>
      <c r="J15" s="1" t="s">
        <v>148</v>
      </c>
      <c r="K15" s="1" t="s">
        <v>146</v>
      </c>
      <c r="L15" s="1" t="n">
        <v>16</v>
      </c>
      <c r="M15" s="37" t="n">
        <v>139307</v>
      </c>
      <c r="N15" s="44" t="n">
        <v>0.08</v>
      </c>
      <c r="O15" s="1" t="n">
        <v>106688.96</v>
      </c>
      <c r="P15" s="37" t="n">
        <v>2228912</v>
      </c>
      <c r="Q15" s="37" t="n">
        <v>2050599.04</v>
      </c>
      <c r="R15" s="37" t="n">
        <v>343575.68</v>
      </c>
      <c r="S15" s="1" t="s">
        <v>104</v>
      </c>
    </row>
    <row r="16" customFormat="false" ht="15" hidden="false" customHeight="true" outlineLevel="0" collapsed="false">
      <c r="A16" s="43" t="n">
        <v>45365</v>
      </c>
      <c r="B16" s="1" t="n">
        <v>2024</v>
      </c>
      <c r="C16" s="1" t="s">
        <v>56</v>
      </c>
      <c r="D16" s="1" t="s">
        <v>90</v>
      </c>
      <c r="E16" s="1" t="s">
        <v>137</v>
      </c>
      <c r="F16" s="1" t="s">
        <v>140</v>
      </c>
      <c r="G16" s="1" t="s">
        <v>149</v>
      </c>
      <c r="H16" s="1" t="s">
        <v>37</v>
      </c>
      <c r="I16" s="1" t="s">
        <v>38</v>
      </c>
      <c r="J16" s="1" t="s">
        <v>150</v>
      </c>
      <c r="K16" s="1" t="s">
        <v>96</v>
      </c>
      <c r="L16" s="1" t="n">
        <v>13</v>
      </c>
      <c r="M16" s="37" t="n">
        <v>27331</v>
      </c>
      <c r="N16" s="44" t="n">
        <v>0</v>
      </c>
      <c r="O16" s="1" t="n">
        <v>19453.97</v>
      </c>
      <c r="P16" s="37" t="n">
        <v>355303</v>
      </c>
      <c r="Q16" s="37" t="n">
        <v>355303</v>
      </c>
      <c r="R16" s="37" t="n">
        <v>102401.39</v>
      </c>
      <c r="S16" s="1" t="s">
        <v>97</v>
      </c>
    </row>
    <row r="17" customFormat="false" ht="15" hidden="false" customHeight="true" outlineLevel="0" collapsed="false">
      <c r="A17" s="43" t="n">
        <v>45385</v>
      </c>
      <c r="B17" s="1" t="n">
        <v>2024</v>
      </c>
      <c r="C17" s="1" t="s">
        <v>59</v>
      </c>
      <c r="D17" s="1" t="s">
        <v>112</v>
      </c>
      <c r="E17" s="1" t="s">
        <v>105</v>
      </c>
      <c r="F17" s="1" t="s">
        <v>151</v>
      </c>
      <c r="G17" s="1" t="s">
        <v>152</v>
      </c>
      <c r="H17" s="1" t="s">
        <v>43</v>
      </c>
      <c r="I17" s="1" t="s">
        <v>116</v>
      </c>
      <c r="J17" s="1" t="s">
        <v>148</v>
      </c>
      <c r="K17" s="1" t="s">
        <v>123</v>
      </c>
      <c r="L17" s="1" t="n">
        <v>16</v>
      </c>
      <c r="M17" s="37" t="n">
        <v>161336</v>
      </c>
      <c r="N17" s="44" t="n">
        <v>0</v>
      </c>
      <c r="O17" s="1" t="n">
        <v>107576.19</v>
      </c>
      <c r="P17" s="37" t="n">
        <v>2581376</v>
      </c>
      <c r="Q17" s="37" t="n">
        <v>2581376</v>
      </c>
      <c r="R17" s="37" t="n">
        <v>860156.96</v>
      </c>
      <c r="S17" s="1" t="s">
        <v>125</v>
      </c>
    </row>
    <row r="18" customFormat="false" ht="15" hidden="false" customHeight="true" outlineLevel="0" collapsed="false">
      <c r="A18" s="43" t="n">
        <v>45423</v>
      </c>
      <c r="B18" s="1" t="n">
        <v>2024</v>
      </c>
      <c r="C18" s="1" t="s">
        <v>62</v>
      </c>
      <c r="D18" s="1" t="s">
        <v>112</v>
      </c>
      <c r="E18" s="1" t="s">
        <v>120</v>
      </c>
      <c r="F18" s="1" t="s">
        <v>130</v>
      </c>
      <c r="G18" s="1" t="s">
        <v>153</v>
      </c>
      <c r="H18" s="1" t="s">
        <v>46</v>
      </c>
      <c r="I18" s="1" t="s">
        <v>33</v>
      </c>
      <c r="J18" s="1" t="s">
        <v>102</v>
      </c>
      <c r="K18" s="1" t="s">
        <v>123</v>
      </c>
      <c r="L18" s="1" t="n">
        <v>20</v>
      </c>
      <c r="M18" s="37" t="n">
        <v>124064</v>
      </c>
      <c r="N18" s="44" t="n">
        <v>0.05</v>
      </c>
      <c r="O18" s="1" t="n">
        <v>59009.96</v>
      </c>
      <c r="P18" s="37" t="n">
        <v>2481280</v>
      </c>
      <c r="Q18" s="37" t="n">
        <v>2357216</v>
      </c>
      <c r="R18" s="37" t="n">
        <v>1177016.8</v>
      </c>
      <c r="S18" s="1" t="s">
        <v>104</v>
      </c>
    </row>
    <row r="19" customFormat="false" ht="15" hidden="false" customHeight="true" outlineLevel="0" collapsed="false">
      <c r="A19" s="43" t="n">
        <v>45453</v>
      </c>
      <c r="B19" s="1" t="n">
        <v>2024</v>
      </c>
      <c r="C19" s="1" t="s">
        <v>65</v>
      </c>
      <c r="D19" s="1" t="s">
        <v>112</v>
      </c>
      <c r="E19" s="1" t="s">
        <v>120</v>
      </c>
      <c r="F19" s="1" t="s">
        <v>121</v>
      </c>
      <c r="G19" s="1" t="s">
        <v>154</v>
      </c>
      <c r="H19" s="1" t="s">
        <v>39</v>
      </c>
      <c r="I19" s="1" t="s">
        <v>155</v>
      </c>
      <c r="J19" s="1" t="s">
        <v>150</v>
      </c>
      <c r="K19" s="1" t="s">
        <v>146</v>
      </c>
      <c r="L19" s="1" t="n">
        <v>36</v>
      </c>
      <c r="M19" s="37" t="n">
        <v>39154</v>
      </c>
      <c r="N19" s="44" t="n">
        <v>0.1</v>
      </c>
      <c r="O19" s="1" t="n">
        <v>21243.51</v>
      </c>
      <c r="P19" s="37" t="n">
        <v>1409544</v>
      </c>
      <c r="Q19" s="37" t="n">
        <v>1268589.6</v>
      </c>
      <c r="R19" s="37" t="n">
        <v>503823.24</v>
      </c>
      <c r="S19" s="1" t="s">
        <v>97</v>
      </c>
    </row>
    <row r="20" customFormat="false" ht="15" hidden="false" customHeight="true" outlineLevel="0" collapsed="false">
      <c r="A20" s="43" t="n">
        <v>45495</v>
      </c>
      <c r="B20" s="1" t="n">
        <v>2024</v>
      </c>
      <c r="C20" s="1" t="s">
        <v>66</v>
      </c>
      <c r="D20" s="1" t="s">
        <v>126</v>
      </c>
      <c r="E20" s="1" t="s">
        <v>137</v>
      </c>
      <c r="F20" s="1" t="s">
        <v>130</v>
      </c>
      <c r="G20" s="1" t="s">
        <v>156</v>
      </c>
      <c r="H20" s="1" t="s">
        <v>36</v>
      </c>
      <c r="I20" s="1" t="s">
        <v>101</v>
      </c>
      <c r="J20" s="1" t="s">
        <v>117</v>
      </c>
      <c r="K20" s="1" t="s">
        <v>103</v>
      </c>
      <c r="L20" s="1" t="n">
        <v>4</v>
      </c>
      <c r="M20" s="37" t="n">
        <v>123037</v>
      </c>
      <c r="N20" s="44" t="n">
        <v>0</v>
      </c>
      <c r="O20" s="1" t="n">
        <v>55519.34</v>
      </c>
      <c r="P20" s="37" t="n">
        <v>492148</v>
      </c>
      <c r="Q20" s="37" t="n">
        <v>492148</v>
      </c>
      <c r="R20" s="37" t="n">
        <v>270070.64</v>
      </c>
      <c r="S20" s="1" t="s">
        <v>104</v>
      </c>
    </row>
    <row r="21" customFormat="false" ht="15" hidden="false" customHeight="true" outlineLevel="0" collapsed="false">
      <c r="A21" s="43" t="n">
        <v>45505</v>
      </c>
      <c r="B21" s="1" t="n">
        <v>2024</v>
      </c>
      <c r="C21" s="1" t="s">
        <v>69</v>
      </c>
      <c r="D21" s="1" t="s">
        <v>126</v>
      </c>
      <c r="E21" s="1" t="s">
        <v>91</v>
      </c>
      <c r="F21" s="1" t="s">
        <v>106</v>
      </c>
      <c r="G21" s="1" t="s">
        <v>127</v>
      </c>
      <c r="H21" s="1" t="s">
        <v>43</v>
      </c>
      <c r="I21" s="1" t="s">
        <v>101</v>
      </c>
      <c r="J21" s="1" t="s">
        <v>148</v>
      </c>
      <c r="K21" s="1" t="s">
        <v>110</v>
      </c>
      <c r="L21" s="1" t="n">
        <v>3</v>
      </c>
      <c r="M21" s="37" t="n">
        <v>164701</v>
      </c>
      <c r="N21" s="44" t="n">
        <v>0.08</v>
      </c>
      <c r="O21" s="1" t="n">
        <v>81462.09</v>
      </c>
      <c r="P21" s="37" t="n">
        <v>494103</v>
      </c>
      <c r="Q21" s="37" t="n">
        <v>454574.76</v>
      </c>
      <c r="R21" s="37" t="n">
        <v>210188.49</v>
      </c>
      <c r="S21" s="1" t="s">
        <v>119</v>
      </c>
    </row>
    <row r="22" customFormat="false" ht="15" hidden="false" customHeight="true" outlineLevel="0" collapsed="false">
      <c r="A22" s="43" t="n">
        <v>45557</v>
      </c>
      <c r="B22" s="1" t="n">
        <v>2024</v>
      </c>
      <c r="C22" s="1" t="s">
        <v>72</v>
      </c>
      <c r="D22" s="1" t="s">
        <v>126</v>
      </c>
      <c r="E22" s="1" t="s">
        <v>120</v>
      </c>
      <c r="F22" s="1" t="s">
        <v>143</v>
      </c>
      <c r="G22" s="1" t="s">
        <v>157</v>
      </c>
      <c r="H22" s="1" t="s">
        <v>36</v>
      </c>
      <c r="I22" s="1" t="s">
        <v>33</v>
      </c>
      <c r="J22" s="1" t="s">
        <v>117</v>
      </c>
      <c r="K22" s="1" t="s">
        <v>103</v>
      </c>
      <c r="L22" s="1" t="n">
        <v>36</v>
      </c>
      <c r="M22" s="37" t="n">
        <v>118529</v>
      </c>
      <c r="N22" s="44" t="n">
        <v>0.1</v>
      </c>
      <c r="O22" s="1" t="n">
        <v>91743.5</v>
      </c>
      <c r="P22" s="37" t="n">
        <v>4267044</v>
      </c>
      <c r="Q22" s="37" t="n">
        <v>3840339.6</v>
      </c>
      <c r="R22" s="37" t="n">
        <v>537573.6</v>
      </c>
      <c r="S22" s="1" t="s">
        <v>104</v>
      </c>
    </row>
    <row r="23" customFormat="false" ht="15" hidden="false" customHeight="true" outlineLevel="0" collapsed="false">
      <c r="A23" s="43" t="n">
        <v>45589</v>
      </c>
      <c r="B23" s="1" t="n">
        <v>2024</v>
      </c>
      <c r="C23" s="1" t="s">
        <v>75</v>
      </c>
      <c r="D23" s="1" t="s">
        <v>136</v>
      </c>
      <c r="E23" s="1" t="s">
        <v>113</v>
      </c>
      <c r="F23" s="1" t="s">
        <v>138</v>
      </c>
      <c r="G23" s="1" t="s">
        <v>122</v>
      </c>
      <c r="H23" s="1" t="s">
        <v>35</v>
      </c>
      <c r="I23" s="1" t="s">
        <v>116</v>
      </c>
      <c r="J23" s="1" t="s">
        <v>132</v>
      </c>
      <c r="K23" s="1" t="s">
        <v>96</v>
      </c>
      <c r="L23" s="1" t="n">
        <v>7</v>
      </c>
      <c r="M23" s="37" t="n">
        <v>22151</v>
      </c>
      <c r="N23" s="44" t="n">
        <v>0.15</v>
      </c>
      <c r="O23" s="1" t="n">
        <v>11515.21</v>
      </c>
      <c r="P23" s="37" t="n">
        <v>155057</v>
      </c>
      <c r="Q23" s="37" t="n">
        <v>131798.45</v>
      </c>
      <c r="R23" s="37" t="n">
        <v>51191.98</v>
      </c>
      <c r="S23" s="1" t="s">
        <v>125</v>
      </c>
    </row>
    <row r="24" customFormat="false" ht="15" hidden="false" customHeight="true" outlineLevel="0" collapsed="false">
      <c r="A24" s="43" t="n">
        <v>45609</v>
      </c>
      <c r="B24" s="1" t="n">
        <v>2024</v>
      </c>
      <c r="C24" s="1" t="s">
        <v>76</v>
      </c>
      <c r="D24" s="1" t="s">
        <v>136</v>
      </c>
      <c r="E24" s="1" t="s">
        <v>113</v>
      </c>
      <c r="F24" s="1" t="s">
        <v>134</v>
      </c>
      <c r="G24" s="1" t="s">
        <v>100</v>
      </c>
      <c r="H24" s="1" t="s">
        <v>36</v>
      </c>
      <c r="I24" s="1" t="s">
        <v>101</v>
      </c>
      <c r="J24" s="1" t="s">
        <v>117</v>
      </c>
      <c r="K24" s="1" t="s">
        <v>133</v>
      </c>
      <c r="L24" s="1" t="n">
        <v>33</v>
      </c>
      <c r="M24" s="37" t="n">
        <v>152565</v>
      </c>
      <c r="N24" s="44" t="n">
        <v>0</v>
      </c>
      <c r="O24" s="1" t="n">
        <v>74813.24</v>
      </c>
      <c r="P24" s="37" t="n">
        <v>5034645</v>
      </c>
      <c r="Q24" s="37" t="n">
        <v>5034645</v>
      </c>
      <c r="R24" s="37" t="n">
        <v>2565808.08</v>
      </c>
      <c r="S24" s="1" t="s">
        <v>119</v>
      </c>
    </row>
    <row r="25" customFormat="false" ht="15" hidden="false" customHeight="true" outlineLevel="0" collapsed="false">
      <c r="A25" s="43" t="n">
        <v>45650</v>
      </c>
      <c r="B25" s="1" t="n">
        <v>2024</v>
      </c>
      <c r="C25" s="1" t="s">
        <v>77</v>
      </c>
      <c r="D25" s="1" t="s">
        <v>136</v>
      </c>
      <c r="E25" s="1" t="s">
        <v>105</v>
      </c>
      <c r="F25" s="1" t="s">
        <v>130</v>
      </c>
      <c r="G25" s="1" t="s">
        <v>142</v>
      </c>
      <c r="H25" s="1" t="s">
        <v>39</v>
      </c>
      <c r="I25" s="1" t="s">
        <v>155</v>
      </c>
      <c r="J25" s="1" t="s">
        <v>150</v>
      </c>
      <c r="K25" s="1" t="s">
        <v>146</v>
      </c>
      <c r="L25" s="1" t="n">
        <v>25</v>
      </c>
      <c r="M25" s="37" t="n">
        <v>61828</v>
      </c>
      <c r="N25" s="44" t="n">
        <v>0.08</v>
      </c>
      <c r="O25" s="1" t="n">
        <v>27859.2</v>
      </c>
      <c r="P25" s="37" t="n">
        <v>1545700</v>
      </c>
      <c r="Q25" s="37" t="n">
        <v>1422044</v>
      </c>
      <c r="R25" s="37" t="n">
        <v>725564</v>
      </c>
      <c r="S25" s="1" t="s">
        <v>111</v>
      </c>
    </row>
    <row r="26" customFormat="false" ht="15" hidden="false" customHeight="true" outlineLevel="0" collapsed="false">
      <c r="A26" s="43" t="n">
        <v>45313</v>
      </c>
      <c r="B26" s="1" t="n">
        <v>2024</v>
      </c>
      <c r="C26" s="1" t="s">
        <v>50</v>
      </c>
      <c r="D26" s="1" t="s">
        <v>90</v>
      </c>
      <c r="E26" s="1" t="s">
        <v>113</v>
      </c>
      <c r="F26" s="1" t="s">
        <v>158</v>
      </c>
      <c r="G26" s="1" t="s">
        <v>159</v>
      </c>
      <c r="H26" s="1" t="s">
        <v>34</v>
      </c>
      <c r="I26" s="1" t="s">
        <v>116</v>
      </c>
      <c r="J26" s="1" t="s">
        <v>132</v>
      </c>
      <c r="K26" s="1" t="s">
        <v>123</v>
      </c>
      <c r="L26" s="1" t="n">
        <v>20</v>
      </c>
      <c r="M26" s="37" t="n">
        <v>119057</v>
      </c>
      <c r="N26" s="44" t="n">
        <v>0.2</v>
      </c>
      <c r="O26" s="1" t="n">
        <v>76677.99</v>
      </c>
      <c r="P26" s="37" t="n">
        <v>2381140</v>
      </c>
      <c r="Q26" s="37" t="n">
        <v>1904912</v>
      </c>
      <c r="R26" s="37" t="n">
        <v>371352.2</v>
      </c>
      <c r="S26" s="1" t="s">
        <v>104</v>
      </c>
    </row>
    <row r="27" customFormat="false" ht="15" hidden="false" customHeight="true" outlineLevel="0" collapsed="false">
      <c r="A27" s="43" t="n">
        <v>45332</v>
      </c>
      <c r="B27" s="1" t="n">
        <v>2024</v>
      </c>
      <c r="C27" s="1" t="s">
        <v>53</v>
      </c>
      <c r="D27" s="1" t="s">
        <v>90</v>
      </c>
      <c r="E27" s="1" t="s">
        <v>98</v>
      </c>
      <c r="F27" s="1" t="s">
        <v>160</v>
      </c>
      <c r="G27" s="1" t="s">
        <v>161</v>
      </c>
      <c r="H27" s="1" t="s">
        <v>44</v>
      </c>
      <c r="I27" s="1" t="s">
        <v>108</v>
      </c>
      <c r="J27" s="1" t="s">
        <v>109</v>
      </c>
      <c r="K27" s="1" t="s">
        <v>133</v>
      </c>
      <c r="L27" s="1" t="n">
        <v>14</v>
      </c>
      <c r="M27" s="37" t="n">
        <v>164039</v>
      </c>
      <c r="N27" s="44"/>
      <c r="O27" s="1" t="n">
        <v>100514.22</v>
      </c>
      <c r="P27" s="37" t="n">
        <v>2296546</v>
      </c>
      <c r="Q27" s="37" t="n">
        <v>2296546</v>
      </c>
      <c r="R27" s="37" t="n">
        <v>889346.92</v>
      </c>
      <c r="S27" s="1" t="s">
        <v>125</v>
      </c>
    </row>
    <row r="28" customFormat="false" ht="15" hidden="false" customHeight="true" outlineLevel="0" collapsed="false">
      <c r="A28" s="43" t="n">
        <v>45373</v>
      </c>
      <c r="B28" s="1" t="n">
        <v>2024</v>
      </c>
      <c r="C28" s="1" t="s">
        <v>56</v>
      </c>
      <c r="D28" s="1" t="s">
        <v>90</v>
      </c>
      <c r="E28" s="1" t="s">
        <v>91</v>
      </c>
      <c r="F28" s="1" t="s">
        <v>130</v>
      </c>
      <c r="G28" s="1" t="s">
        <v>162</v>
      </c>
      <c r="H28" s="1" t="s">
        <v>35</v>
      </c>
      <c r="I28" s="1" t="s">
        <v>116</v>
      </c>
      <c r="J28" s="1" t="s">
        <v>132</v>
      </c>
      <c r="K28" s="1" t="s">
        <v>103</v>
      </c>
      <c r="L28" s="1" t="n">
        <v>16</v>
      </c>
      <c r="M28" s="37" t="n">
        <v>70888</v>
      </c>
      <c r="N28" s="44" t="n">
        <v>0.1</v>
      </c>
      <c r="O28" s="1" t="n">
        <v>32505.61</v>
      </c>
      <c r="P28" s="37" t="n">
        <v>1134208</v>
      </c>
      <c r="Q28" s="37" t="n">
        <v>1020787.2</v>
      </c>
      <c r="R28" s="37" t="n">
        <v>500697.44</v>
      </c>
      <c r="S28" s="1" t="s">
        <v>104</v>
      </c>
    </row>
    <row r="29" customFormat="false" ht="15" hidden="false" customHeight="true" outlineLevel="0" collapsed="false">
      <c r="A29" s="43" t="n">
        <v>45389</v>
      </c>
      <c r="B29" s="1" t="n">
        <v>2024</v>
      </c>
      <c r="C29" s="1" t="s">
        <v>59</v>
      </c>
      <c r="D29" s="1" t="s">
        <v>112</v>
      </c>
      <c r="E29" s="1" t="s">
        <v>137</v>
      </c>
      <c r="F29" s="1" t="s">
        <v>92</v>
      </c>
      <c r="G29" s="1" t="s">
        <v>163</v>
      </c>
      <c r="H29" s="1" t="s">
        <v>44</v>
      </c>
      <c r="I29" s="1" t="s">
        <v>41</v>
      </c>
      <c r="J29" s="1" t="s">
        <v>109</v>
      </c>
      <c r="K29" s="1" t="s">
        <v>118</v>
      </c>
      <c r="L29" s="1" t="n">
        <v>16</v>
      </c>
      <c r="M29" s="37" t="n">
        <v>13453</v>
      </c>
      <c r="N29" s="44" t="n">
        <v>0.05</v>
      </c>
      <c r="O29" s="1" t="n">
        <v>9719.08</v>
      </c>
      <c r="P29" s="37" t="n">
        <v>215248</v>
      </c>
      <c r="Q29" s="37" t="n">
        <v>204485.6</v>
      </c>
      <c r="R29" s="37" t="n">
        <v>48980.32</v>
      </c>
      <c r="S29" s="1" t="s">
        <v>104</v>
      </c>
    </row>
    <row r="30" customFormat="false" ht="15" hidden="false" customHeight="true" outlineLevel="0" collapsed="false">
      <c r="A30" s="43" t="n">
        <v>45427</v>
      </c>
      <c r="B30" s="1" t="n">
        <v>2024</v>
      </c>
      <c r="C30" s="1" t="s">
        <v>62</v>
      </c>
      <c r="D30" s="1" t="s">
        <v>112</v>
      </c>
      <c r="E30" s="1" t="s">
        <v>120</v>
      </c>
      <c r="F30" s="1" t="s">
        <v>121</v>
      </c>
      <c r="G30" s="1" t="s">
        <v>164</v>
      </c>
      <c r="H30" s="1" t="s">
        <v>34</v>
      </c>
      <c r="I30" s="1" t="s">
        <v>116</v>
      </c>
      <c r="J30" s="1" t="s">
        <v>132</v>
      </c>
      <c r="K30" s="1" t="s">
        <v>110</v>
      </c>
      <c r="L30" s="1" t="n">
        <v>33</v>
      </c>
      <c r="M30" s="37" t="n">
        <v>155621</v>
      </c>
      <c r="N30" s="44" t="n">
        <v>0.1</v>
      </c>
      <c r="O30" s="1" t="n">
        <v>110534.39</v>
      </c>
      <c r="P30" s="37" t="n">
        <v>5135493</v>
      </c>
      <c r="Q30" s="37" t="n">
        <v>4621943.7</v>
      </c>
      <c r="R30" s="37" t="n">
        <v>974308.83</v>
      </c>
      <c r="S30" s="1" t="s">
        <v>125</v>
      </c>
    </row>
    <row r="31" customFormat="false" ht="15" hidden="false" customHeight="true" outlineLevel="0" collapsed="false">
      <c r="A31" s="43" t="n">
        <v>45464</v>
      </c>
      <c r="B31" s="1" t="n">
        <v>2024</v>
      </c>
      <c r="C31" s="1" t="s">
        <v>65</v>
      </c>
      <c r="D31" s="1" t="s">
        <v>112</v>
      </c>
      <c r="E31" s="1" t="s">
        <v>120</v>
      </c>
      <c r="F31" s="1" t="s">
        <v>130</v>
      </c>
      <c r="G31" s="1" t="s">
        <v>165</v>
      </c>
      <c r="H31" s="1" t="s">
        <v>42</v>
      </c>
      <c r="I31" s="1" t="s">
        <v>101</v>
      </c>
      <c r="J31" s="1" t="s">
        <v>128</v>
      </c>
      <c r="K31" s="1" t="s">
        <v>123</v>
      </c>
      <c r="L31" s="1" t="n">
        <v>19</v>
      </c>
      <c r="M31" s="37" t="n">
        <v>100040</v>
      </c>
      <c r="N31" s="44" t="n">
        <v>0.05</v>
      </c>
      <c r="O31" s="1" t="n">
        <v>49863.03</v>
      </c>
      <c r="P31" s="37" t="n">
        <v>1900760</v>
      </c>
      <c r="Q31" s="37" t="n">
        <v>1805722</v>
      </c>
      <c r="R31" s="37" t="n">
        <v>858324.43</v>
      </c>
      <c r="S31" s="1" t="s">
        <v>104</v>
      </c>
    </row>
    <row r="32" customFormat="false" ht="15" hidden="false" customHeight="true" outlineLevel="0" collapsed="false">
      <c r="A32" s="43" t="n">
        <v>45488</v>
      </c>
      <c r="B32" s="1" t="n">
        <v>2024</v>
      </c>
      <c r="C32" s="1" t="s">
        <v>66</v>
      </c>
      <c r="D32" s="1" t="s">
        <v>126</v>
      </c>
      <c r="E32" s="1" t="s">
        <v>98</v>
      </c>
      <c r="F32" s="1" t="s">
        <v>114</v>
      </c>
      <c r="G32" s="1" t="s">
        <v>166</v>
      </c>
      <c r="H32" s="1" t="s">
        <v>43</v>
      </c>
      <c r="I32" s="1" t="s">
        <v>116</v>
      </c>
      <c r="J32" s="1" t="s">
        <v>148</v>
      </c>
      <c r="K32" s="1" t="s">
        <v>118</v>
      </c>
      <c r="L32" s="1" t="n">
        <v>38</v>
      </c>
      <c r="M32" s="37" t="n">
        <v>17120</v>
      </c>
      <c r="N32" s="44" t="n">
        <v>0.08</v>
      </c>
      <c r="O32" s="1" t="n">
        <v>10562.06</v>
      </c>
      <c r="P32" s="37" t="n">
        <v>650560</v>
      </c>
      <c r="Q32" s="37" t="n">
        <v>598515.2</v>
      </c>
      <c r="R32" s="37" t="n">
        <v>197156.92</v>
      </c>
      <c r="S32" s="1" t="s">
        <v>119</v>
      </c>
    </row>
    <row r="33" customFormat="false" ht="15" hidden="false" customHeight="true" outlineLevel="0" collapsed="false">
      <c r="A33" s="43" t="n">
        <v>45528</v>
      </c>
      <c r="B33" s="1" t="n">
        <v>2024</v>
      </c>
      <c r="C33" s="1" t="s">
        <v>69</v>
      </c>
      <c r="D33" s="1" t="s">
        <v>126</v>
      </c>
      <c r="E33" s="1" t="s">
        <v>129</v>
      </c>
      <c r="F33" s="1" t="s">
        <v>160</v>
      </c>
      <c r="G33" s="1" t="s">
        <v>149</v>
      </c>
      <c r="H33" s="1" t="s">
        <v>46</v>
      </c>
      <c r="I33" s="1" t="s">
        <v>116</v>
      </c>
      <c r="J33" s="1" t="s">
        <v>102</v>
      </c>
      <c r="K33" s="1" t="s">
        <v>96</v>
      </c>
      <c r="L33" s="1" t="n">
        <v>18</v>
      </c>
      <c r="M33" s="37" t="n">
        <v>19608</v>
      </c>
      <c r="N33" s="44" t="n">
        <v>0.08</v>
      </c>
      <c r="O33" s="1" t="n">
        <v>13793.51</v>
      </c>
      <c r="P33" s="37" t="n">
        <v>352944</v>
      </c>
      <c r="Q33" s="37" t="n">
        <v>324708.48</v>
      </c>
      <c r="R33" s="37" t="n">
        <v>76425.3</v>
      </c>
      <c r="S33" s="1" t="s">
        <v>125</v>
      </c>
    </row>
    <row r="34" customFormat="false" ht="15" hidden="false" customHeight="true" outlineLevel="0" collapsed="false">
      <c r="A34" s="43" t="n">
        <v>45557</v>
      </c>
      <c r="B34" s="1" t="n">
        <v>2024</v>
      </c>
      <c r="C34" s="1" t="s">
        <v>72</v>
      </c>
      <c r="D34" s="1" t="s">
        <v>126</v>
      </c>
      <c r="E34" s="1" t="s">
        <v>91</v>
      </c>
      <c r="F34" s="1" t="s">
        <v>106</v>
      </c>
      <c r="G34" s="1" t="s">
        <v>167</v>
      </c>
      <c r="H34" s="1" t="s">
        <v>44</v>
      </c>
      <c r="I34" s="1" t="s">
        <v>144</v>
      </c>
      <c r="J34" s="1" t="s">
        <v>109</v>
      </c>
      <c r="K34" s="1" t="s">
        <v>96</v>
      </c>
      <c r="L34" s="1" t="n">
        <v>30</v>
      </c>
      <c r="M34" s="37" t="n">
        <v>80198</v>
      </c>
      <c r="N34" s="44" t="n">
        <v>0.15</v>
      </c>
      <c r="O34" s="1" t="n">
        <v>48852.19</v>
      </c>
      <c r="P34" s="37" t="n">
        <v>2405940</v>
      </c>
      <c r="Q34" s="37" t="n">
        <v>2045049</v>
      </c>
      <c r="R34" s="37" t="n">
        <v>579483.3</v>
      </c>
      <c r="S34" s="1" t="s">
        <v>119</v>
      </c>
    </row>
    <row r="35" customFormat="false" ht="15" hidden="false" customHeight="true" outlineLevel="0" collapsed="false">
      <c r="A35" s="43" t="n">
        <v>45581</v>
      </c>
      <c r="B35" s="1" t="n">
        <v>2024</v>
      </c>
      <c r="C35" s="1" t="s">
        <v>75</v>
      </c>
      <c r="D35" s="1" t="s">
        <v>136</v>
      </c>
      <c r="E35" s="1" t="s">
        <v>91</v>
      </c>
      <c r="F35" s="1" t="s">
        <v>140</v>
      </c>
      <c r="G35" s="1" t="s">
        <v>168</v>
      </c>
      <c r="H35" s="1" t="s">
        <v>34</v>
      </c>
      <c r="I35" s="1" t="s">
        <v>33</v>
      </c>
      <c r="J35" s="1" t="s">
        <v>132</v>
      </c>
      <c r="K35" s="1" t="s">
        <v>133</v>
      </c>
      <c r="L35" s="1" t="n">
        <v>15</v>
      </c>
      <c r="M35" s="37" t="n">
        <v>22553</v>
      </c>
      <c r="N35" s="44" t="n">
        <v>0.15</v>
      </c>
      <c r="O35" s="1" t="n">
        <v>11722.51</v>
      </c>
      <c r="P35" s="37" t="n">
        <v>338295</v>
      </c>
      <c r="Q35" s="37" t="n">
        <v>287550.75</v>
      </c>
      <c r="R35" s="37" t="n">
        <v>111713.1</v>
      </c>
      <c r="S35" s="1" t="s">
        <v>97</v>
      </c>
    </row>
    <row r="36" customFormat="false" ht="15" hidden="false" customHeight="true" outlineLevel="0" collapsed="false">
      <c r="A36" s="43" t="n">
        <v>45619</v>
      </c>
      <c r="B36" s="1" t="n">
        <v>2024</v>
      </c>
      <c r="C36" s="1" t="s">
        <v>76</v>
      </c>
      <c r="D36" s="1" t="s">
        <v>136</v>
      </c>
      <c r="E36" s="1" t="s">
        <v>113</v>
      </c>
      <c r="F36" s="1" t="s">
        <v>134</v>
      </c>
      <c r="G36" s="1" t="s">
        <v>131</v>
      </c>
      <c r="H36" s="1" t="s">
        <v>42</v>
      </c>
      <c r="I36" s="1" t="s">
        <v>116</v>
      </c>
      <c r="J36" s="1" t="s">
        <v>128</v>
      </c>
      <c r="K36" s="1" t="s">
        <v>103</v>
      </c>
      <c r="L36" s="1" t="n">
        <v>11</v>
      </c>
      <c r="M36" s="37" t="n">
        <v>40337</v>
      </c>
      <c r="N36" s="44" t="n">
        <v>0.2</v>
      </c>
      <c r="O36" s="1" t="n">
        <v>26280.72</v>
      </c>
      <c r="P36" s="37" t="n">
        <v>443707</v>
      </c>
      <c r="Q36" s="37" t="n">
        <v>354965.6</v>
      </c>
      <c r="R36" s="37" t="n">
        <v>65877.68</v>
      </c>
      <c r="S36" s="1" t="s">
        <v>125</v>
      </c>
    </row>
    <row r="37" customFormat="false" ht="15" hidden="false" customHeight="true" outlineLevel="0" collapsed="false">
      <c r="A37" s="43" t="n">
        <v>45630</v>
      </c>
      <c r="B37" s="1" t="n">
        <v>2024</v>
      </c>
      <c r="C37" s="1" t="s">
        <v>77</v>
      </c>
      <c r="D37" s="1" t="s">
        <v>136</v>
      </c>
      <c r="E37" s="1" t="s">
        <v>137</v>
      </c>
      <c r="F37" s="1" t="s">
        <v>134</v>
      </c>
      <c r="G37" s="1" t="s">
        <v>169</v>
      </c>
      <c r="H37" s="1" t="s">
        <v>36</v>
      </c>
      <c r="I37" s="1" t="s">
        <v>101</v>
      </c>
      <c r="J37" s="1" t="s">
        <v>117</v>
      </c>
      <c r="K37" s="1" t="s">
        <v>133</v>
      </c>
      <c r="L37" s="1" t="n">
        <v>35</v>
      </c>
      <c r="M37" s="37" t="n">
        <v>109142</v>
      </c>
      <c r="N37" s="44"/>
      <c r="O37" s="1" t="n">
        <v>49597.21</v>
      </c>
      <c r="P37" s="37" t="n">
        <v>3819970</v>
      </c>
      <c r="Q37" s="37" t="n">
        <v>3819970</v>
      </c>
      <c r="R37" s="37" t="n">
        <v>2084067.65</v>
      </c>
      <c r="S37" s="1" t="s">
        <v>125</v>
      </c>
    </row>
    <row r="38" customFormat="false" ht="15" hidden="false" customHeight="true" outlineLevel="0" collapsed="false">
      <c r="A38" s="43" t="n">
        <v>45296</v>
      </c>
      <c r="B38" s="1" t="n">
        <v>2024</v>
      </c>
      <c r="C38" s="1" t="s">
        <v>50</v>
      </c>
      <c r="D38" s="1" t="s">
        <v>90</v>
      </c>
      <c r="E38" s="1" t="s">
        <v>98</v>
      </c>
      <c r="F38" s="1" t="s">
        <v>170</v>
      </c>
      <c r="G38" s="1" t="s">
        <v>171</v>
      </c>
      <c r="H38" s="1" t="s">
        <v>46</v>
      </c>
      <c r="I38" s="1" t="s">
        <v>101</v>
      </c>
      <c r="J38" s="1" t="s">
        <v>102</v>
      </c>
      <c r="K38" s="1" t="s">
        <v>123</v>
      </c>
      <c r="L38" s="1" t="n">
        <v>18</v>
      </c>
      <c r="M38" s="37" t="n">
        <v>153078</v>
      </c>
      <c r="N38" s="44" t="n">
        <v>0.12</v>
      </c>
      <c r="O38" s="1" t="n">
        <v>92222.01</v>
      </c>
      <c r="P38" s="37" t="n">
        <v>2755404</v>
      </c>
      <c r="Q38" s="37" t="n">
        <v>2424755.52</v>
      </c>
      <c r="R38" s="37" t="n">
        <v>764759.34</v>
      </c>
      <c r="S38" s="1" t="s">
        <v>172</v>
      </c>
    </row>
    <row r="39" customFormat="false" ht="15" hidden="false" customHeight="true" outlineLevel="0" collapsed="false">
      <c r="A39" s="43" t="n">
        <v>45330</v>
      </c>
      <c r="B39" s="1" t="n">
        <v>2024</v>
      </c>
      <c r="C39" s="1" t="s">
        <v>53</v>
      </c>
      <c r="D39" s="1" t="s">
        <v>90</v>
      </c>
      <c r="E39" s="1" t="s">
        <v>105</v>
      </c>
      <c r="F39" s="1" t="s">
        <v>121</v>
      </c>
      <c r="G39" s="1" t="s">
        <v>173</v>
      </c>
      <c r="H39" s="1" t="s">
        <v>42</v>
      </c>
      <c r="I39" s="1" t="s">
        <v>116</v>
      </c>
      <c r="J39" s="1" t="s">
        <v>128</v>
      </c>
      <c r="K39" s="1" t="s">
        <v>146</v>
      </c>
      <c r="L39" s="1" t="n">
        <v>32</v>
      </c>
      <c r="M39" s="37" t="n">
        <v>59668</v>
      </c>
      <c r="N39" s="44"/>
      <c r="O39" s="1" t="n">
        <v>43512.37</v>
      </c>
      <c r="P39" s="37" t="n">
        <v>1909376</v>
      </c>
      <c r="Q39" s="37" t="n">
        <v>1909376</v>
      </c>
      <c r="R39" s="37" t="n">
        <v>516980.16</v>
      </c>
      <c r="S39" s="1" t="s">
        <v>119</v>
      </c>
    </row>
    <row r="40" customFormat="false" ht="15" hidden="false" customHeight="true" outlineLevel="0" collapsed="false">
      <c r="A40" s="43" t="n">
        <v>45354</v>
      </c>
      <c r="B40" s="1" t="n">
        <v>2024</v>
      </c>
      <c r="C40" s="1" t="s">
        <v>56</v>
      </c>
      <c r="D40" s="1" t="s">
        <v>90</v>
      </c>
      <c r="E40" s="1" t="s">
        <v>120</v>
      </c>
      <c r="F40" s="1" t="s">
        <v>92</v>
      </c>
      <c r="G40" s="1" t="s">
        <v>149</v>
      </c>
      <c r="H40" s="1" t="s">
        <v>36</v>
      </c>
      <c r="I40" s="1" t="s">
        <v>116</v>
      </c>
      <c r="J40" s="1" t="s">
        <v>117</v>
      </c>
      <c r="K40" s="1" t="s">
        <v>110</v>
      </c>
      <c r="L40" s="1" t="n">
        <v>16</v>
      </c>
      <c r="M40" s="37" t="n">
        <v>140665</v>
      </c>
      <c r="N40" s="44" t="n">
        <v>0</v>
      </c>
      <c r="O40" s="1" t="n">
        <v>67880.52</v>
      </c>
      <c r="P40" s="37" t="n">
        <v>2250640</v>
      </c>
      <c r="Q40" s="37" t="n">
        <v>2250640</v>
      </c>
      <c r="R40" s="37" t="n">
        <v>1164551.68</v>
      </c>
      <c r="S40" s="1" t="s">
        <v>104</v>
      </c>
    </row>
    <row r="41" customFormat="false" ht="15" hidden="false" customHeight="true" outlineLevel="0" collapsed="false">
      <c r="A41" s="43" t="n">
        <v>45394</v>
      </c>
      <c r="B41" s="1" t="n">
        <v>2024</v>
      </c>
      <c r="C41" s="1" t="s">
        <v>59</v>
      </c>
      <c r="D41" s="1" t="s">
        <v>112</v>
      </c>
      <c r="E41" s="1" t="s">
        <v>98</v>
      </c>
      <c r="F41" s="1" t="s">
        <v>140</v>
      </c>
      <c r="G41" s="1" t="s">
        <v>174</v>
      </c>
      <c r="H41" s="1" t="s">
        <v>43</v>
      </c>
      <c r="I41" s="1" t="s">
        <v>101</v>
      </c>
      <c r="J41" s="1" t="s">
        <v>148</v>
      </c>
      <c r="K41" s="1" t="s">
        <v>133</v>
      </c>
      <c r="L41" s="1" t="n">
        <v>30</v>
      </c>
      <c r="M41" s="37" t="n">
        <v>77903</v>
      </c>
      <c r="N41" s="44" t="n">
        <v>0.15</v>
      </c>
      <c r="O41" s="1" t="n">
        <v>43660.1</v>
      </c>
      <c r="P41" s="37" t="n">
        <v>2337090</v>
      </c>
      <c r="Q41" s="37" t="n">
        <v>1986526.5</v>
      </c>
      <c r="R41" s="37" t="n">
        <v>676723.5</v>
      </c>
      <c r="S41" s="1" t="s">
        <v>172</v>
      </c>
    </row>
    <row r="42" customFormat="false" ht="15" hidden="false" customHeight="true" outlineLevel="0" collapsed="false">
      <c r="A42" s="43" t="n">
        <v>45436</v>
      </c>
      <c r="B42" s="1" t="n">
        <v>2024</v>
      </c>
      <c r="C42" s="1" t="s">
        <v>62</v>
      </c>
      <c r="D42" s="1" t="s">
        <v>112</v>
      </c>
      <c r="E42" s="1" t="s">
        <v>129</v>
      </c>
      <c r="F42" s="1" t="s">
        <v>158</v>
      </c>
      <c r="G42" s="1" t="s">
        <v>115</v>
      </c>
      <c r="H42" s="1" t="s">
        <v>37</v>
      </c>
      <c r="I42" s="1" t="s">
        <v>38</v>
      </c>
      <c r="J42" s="1" t="s">
        <v>150</v>
      </c>
      <c r="K42" s="1" t="s">
        <v>103</v>
      </c>
      <c r="L42" s="1" t="n">
        <v>13</v>
      </c>
      <c r="M42" s="37" t="n">
        <v>106602</v>
      </c>
      <c r="N42" s="44" t="n">
        <v>0</v>
      </c>
      <c r="O42" s="1" t="n">
        <v>74387.57</v>
      </c>
      <c r="P42" s="37" t="n">
        <v>1385826</v>
      </c>
      <c r="Q42" s="37" t="n">
        <v>1385826</v>
      </c>
      <c r="R42" s="37" t="n">
        <v>418787.59</v>
      </c>
      <c r="S42" s="1" t="s">
        <v>104</v>
      </c>
    </row>
    <row r="43" customFormat="false" ht="15" hidden="false" customHeight="true" outlineLevel="0" collapsed="false">
      <c r="A43" s="43" t="n">
        <v>45471</v>
      </c>
      <c r="B43" s="1" t="n">
        <v>2024</v>
      </c>
      <c r="C43" s="1" t="s">
        <v>65</v>
      </c>
      <c r="D43" s="1" t="s">
        <v>112</v>
      </c>
      <c r="E43" s="1" t="s">
        <v>105</v>
      </c>
      <c r="F43" s="1" t="s">
        <v>138</v>
      </c>
      <c r="G43" s="1" t="s">
        <v>147</v>
      </c>
      <c r="H43" s="1" t="s">
        <v>45</v>
      </c>
      <c r="I43" s="1" t="s">
        <v>94</v>
      </c>
      <c r="J43" s="1" t="s">
        <v>95</v>
      </c>
      <c r="K43" s="1" t="s">
        <v>110</v>
      </c>
      <c r="L43" s="1" t="n">
        <v>19</v>
      </c>
      <c r="M43" s="37" t="n">
        <v>127466</v>
      </c>
      <c r="N43" s="44" t="n">
        <v>0</v>
      </c>
      <c r="O43" s="1" t="n">
        <v>68623.54</v>
      </c>
      <c r="P43" s="37" t="n">
        <v>2421854</v>
      </c>
      <c r="Q43" s="37" t="n">
        <v>2421854</v>
      </c>
      <c r="R43" s="37" t="n">
        <v>1118006.74</v>
      </c>
      <c r="S43" s="1" t="s">
        <v>125</v>
      </c>
    </row>
    <row r="44" customFormat="false" ht="15" hidden="false" customHeight="true" outlineLevel="0" collapsed="false">
      <c r="A44" s="43" t="n">
        <v>45478</v>
      </c>
      <c r="B44" s="1" t="n">
        <v>2024</v>
      </c>
      <c r="C44" s="1" t="s">
        <v>66</v>
      </c>
      <c r="D44" s="1" t="s">
        <v>126</v>
      </c>
      <c r="E44" s="1" t="s">
        <v>120</v>
      </c>
      <c r="F44" s="1" t="s">
        <v>158</v>
      </c>
      <c r="G44" s="1" t="s">
        <v>175</v>
      </c>
      <c r="H44" s="1" t="s">
        <v>32</v>
      </c>
      <c r="I44" s="1" t="s">
        <v>101</v>
      </c>
      <c r="J44" s="1" t="s">
        <v>176</v>
      </c>
      <c r="K44" s="1" t="s">
        <v>96</v>
      </c>
      <c r="L44" s="1" t="n">
        <v>8</v>
      </c>
      <c r="M44" s="37" t="n">
        <v>121097</v>
      </c>
      <c r="N44" s="44" t="n">
        <v>0.15</v>
      </c>
      <c r="O44" s="1" t="n">
        <v>87370.61</v>
      </c>
      <c r="P44" s="37" t="n">
        <v>968776</v>
      </c>
      <c r="Q44" s="37" t="n">
        <v>823459.6</v>
      </c>
      <c r="R44" s="37" t="n">
        <v>124494.72</v>
      </c>
      <c r="S44" s="1" t="s">
        <v>125</v>
      </c>
    </row>
    <row r="45" customFormat="false" ht="15" hidden="false" customHeight="true" outlineLevel="0" collapsed="false">
      <c r="A45" s="43" t="n">
        <v>45524</v>
      </c>
      <c r="B45" s="1" t="n">
        <v>2024</v>
      </c>
      <c r="C45" s="1" t="s">
        <v>69</v>
      </c>
      <c r="D45" s="1" t="s">
        <v>126</v>
      </c>
      <c r="E45" s="1" t="s">
        <v>91</v>
      </c>
      <c r="F45" s="1" t="s">
        <v>160</v>
      </c>
      <c r="H45" s="1" t="s">
        <v>44</v>
      </c>
      <c r="I45" s="1" t="s">
        <v>41</v>
      </c>
      <c r="J45" s="1" t="s">
        <v>109</v>
      </c>
      <c r="K45" s="1" t="s">
        <v>123</v>
      </c>
      <c r="L45" s="1" t="n">
        <v>14</v>
      </c>
      <c r="M45" s="37" t="n">
        <v>33282</v>
      </c>
      <c r="N45" s="44" t="n">
        <v>0.1</v>
      </c>
      <c r="O45" s="1" t="n">
        <v>21406.89</v>
      </c>
      <c r="P45" s="37" t="n">
        <v>465948</v>
      </c>
      <c r="Q45" s="37" t="n">
        <v>419353.2</v>
      </c>
      <c r="R45" s="37" t="n">
        <v>119656.74</v>
      </c>
      <c r="S45" s="1" t="s">
        <v>104</v>
      </c>
    </row>
    <row r="46" customFormat="false" ht="15" hidden="false" customHeight="true" outlineLevel="0" collapsed="false">
      <c r="A46" s="43" t="n">
        <v>45558</v>
      </c>
      <c r="B46" s="1" t="n">
        <v>2024</v>
      </c>
      <c r="C46" s="1" t="s">
        <v>72</v>
      </c>
      <c r="D46" s="1" t="s">
        <v>126</v>
      </c>
      <c r="E46" s="1" t="s">
        <v>113</v>
      </c>
      <c r="F46" s="1" t="s">
        <v>92</v>
      </c>
      <c r="G46" s="1" t="s">
        <v>165</v>
      </c>
      <c r="H46" s="1" t="s">
        <v>37</v>
      </c>
      <c r="I46" s="1" t="s">
        <v>38</v>
      </c>
      <c r="J46" s="1" t="s">
        <v>150</v>
      </c>
      <c r="K46" s="1" t="s">
        <v>123</v>
      </c>
      <c r="L46" s="1" t="n">
        <v>15</v>
      </c>
      <c r="M46" s="37" t="n">
        <v>175855</v>
      </c>
      <c r="N46" s="44" t="n">
        <v>0.15</v>
      </c>
      <c r="O46" s="1" t="n">
        <v>105301.73</v>
      </c>
      <c r="P46" s="37" t="n">
        <v>2637825</v>
      </c>
      <c r="Q46" s="37" t="n">
        <v>2242151.25</v>
      </c>
      <c r="R46" s="37" t="n">
        <v>662625.3</v>
      </c>
      <c r="S46" s="1" t="s">
        <v>111</v>
      </c>
    </row>
    <row r="47" customFormat="false" ht="15" hidden="false" customHeight="true" outlineLevel="0" collapsed="false">
      <c r="A47" s="43" t="n">
        <v>45591</v>
      </c>
      <c r="B47" s="1" t="n">
        <v>2024</v>
      </c>
      <c r="C47" s="1" t="s">
        <v>75</v>
      </c>
      <c r="D47" s="1" t="s">
        <v>136</v>
      </c>
      <c r="E47" s="1" t="s">
        <v>113</v>
      </c>
      <c r="F47" s="1" t="s">
        <v>158</v>
      </c>
      <c r="H47" s="1" t="s">
        <v>35</v>
      </c>
      <c r="I47" s="1" t="s">
        <v>33</v>
      </c>
      <c r="J47" s="1" t="s">
        <v>132</v>
      </c>
      <c r="K47" s="1" t="s">
        <v>146</v>
      </c>
      <c r="L47" s="1" t="n">
        <v>30</v>
      </c>
      <c r="M47" s="37" t="n">
        <v>117515</v>
      </c>
      <c r="N47" s="44" t="n">
        <v>0.12</v>
      </c>
      <c r="O47" s="1" t="n">
        <v>70886.88</v>
      </c>
      <c r="P47" s="37" t="n">
        <v>3525450</v>
      </c>
      <c r="Q47" s="37" t="n">
        <v>3102396</v>
      </c>
      <c r="R47" s="37" t="n">
        <v>975789.6</v>
      </c>
      <c r="S47" s="1" t="s">
        <v>111</v>
      </c>
    </row>
    <row r="48" customFormat="false" ht="15" hidden="false" customHeight="true" outlineLevel="0" collapsed="false">
      <c r="A48" s="43" t="n">
        <v>45618</v>
      </c>
      <c r="B48" s="1" t="n">
        <v>2024</v>
      </c>
      <c r="C48" s="1" t="s">
        <v>76</v>
      </c>
      <c r="D48" s="1" t="s">
        <v>136</v>
      </c>
      <c r="E48" s="1" t="s">
        <v>105</v>
      </c>
      <c r="F48" s="1" t="s">
        <v>160</v>
      </c>
      <c r="G48" s="1" t="s">
        <v>122</v>
      </c>
      <c r="H48" s="1" t="s">
        <v>36</v>
      </c>
      <c r="I48" s="1" t="s">
        <v>101</v>
      </c>
      <c r="J48" s="1" t="s">
        <v>117</v>
      </c>
      <c r="K48" s="1" t="s">
        <v>110</v>
      </c>
      <c r="L48" s="1" t="n">
        <v>3</v>
      </c>
      <c r="M48" s="37" t="n">
        <v>57925</v>
      </c>
      <c r="N48" s="44" t="n">
        <v>0.12</v>
      </c>
      <c r="O48" s="1" t="n">
        <v>44638.48</v>
      </c>
      <c r="P48" s="37" t="n">
        <v>173775</v>
      </c>
      <c r="Q48" s="37" t="n">
        <v>152922</v>
      </c>
      <c r="R48" s="37" t="n">
        <v>19006.56</v>
      </c>
      <c r="S48" s="1" t="s">
        <v>104</v>
      </c>
    </row>
    <row r="49" customFormat="false" ht="15" hidden="false" customHeight="true" outlineLevel="0" collapsed="false">
      <c r="A49" s="43" t="n">
        <v>45640</v>
      </c>
      <c r="B49" s="1" t="n">
        <v>2024</v>
      </c>
      <c r="C49" s="1" t="s">
        <v>77</v>
      </c>
      <c r="D49" s="1" t="s">
        <v>136</v>
      </c>
      <c r="E49" s="1" t="s">
        <v>113</v>
      </c>
      <c r="F49" s="1" t="s">
        <v>134</v>
      </c>
      <c r="H49" s="1" t="s">
        <v>39</v>
      </c>
      <c r="I49" s="1" t="s">
        <v>155</v>
      </c>
      <c r="J49" s="1" t="s">
        <v>150</v>
      </c>
      <c r="K49" s="1" t="s">
        <v>133</v>
      </c>
      <c r="L49" s="1" t="n">
        <v>27</v>
      </c>
      <c r="M49" s="37" t="n">
        <v>87554</v>
      </c>
      <c r="N49" s="44" t="n">
        <v>0.08</v>
      </c>
      <c r="O49" s="1" t="n">
        <v>64330.14</v>
      </c>
      <c r="P49" s="37" t="n">
        <v>2363958</v>
      </c>
      <c r="Q49" s="37" t="n">
        <v>2174841.36</v>
      </c>
      <c r="R49" s="37" t="n">
        <v>437927.58</v>
      </c>
      <c r="S49" s="1" t="s">
        <v>111</v>
      </c>
    </row>
    <row r="50" customFormat="false" ht="15" hidden="false" customHeight="true" outlineLevel="0" collapsed="false">
      <c r="A50" s="43" t="n">
        <v>45318</v>
      </c>
      <c r="B50" s="1" t="n">
        <v>2024</v>
      </c>
      <c r="C50" s="1" t="s">
        <v>50</v>
      </c>
      <c r="D50" s="1" t="s">
        <v>90</v>
      </c>
      <c r="E50" s="1" t="s">
        <v>91</v>
      </c>
      <c r="F50" s="1" t="s">
        <v>140</v>
      </c>
      <c r="G50" s="1" t="s">
        <v>177</v>
      </c>
      <c r="H50" s="1" t="s">
        <v>43</v>
      </c>
      <c r="I50" s="1" t="s">
        <v>116</v>
      </c>
      <c r="J50" s="1" t="s">
        <v>148</v>
      </c>
      <c r="K50" s="1" t="s">
        <v>118</v>
      </c>
      <c r="L50" s="1" t="n">
        <v>4</v>
      </c>
      <c r="M50" s="37" t="n">
        <v>106838</v>
      </c>
      <c r="N50" s="44" t="n">
        <v>0.12</v>
      </c>
      <c r="O50" s="1" t="n">
        <v>71463.2</v>
      </c>
      <c r="P50" s="37" t="n">
        <v>427352</v>
      </c>
      <c r="Q50" s="37" t="n">
        <v>376069.76</v>
      </c>
      <c r="R50" s="37" t="n">
        <v>90216.96</v>
      </c>
      <c r="S50" s="1" t="s">
        <v>97</v>
      </c>
    </row>
    <row r="51" customFormat="false" ht="15" hidden="false" customHeight="true" outlineLevel="0" collapsed="false">
      <c r="A51" s="43" t="n">
        <v>45326</v>
      </c>
      <c r="B51" s="1" t="n">
        <v>2024</v>
      </c>
      <c r="C51" s="1" t="s">
        <v>53</v>
      </c>
      <c r="D51" s="1" t="s">
        <v>90</v>
      </c>
      <c r="E51" s="1" t="s">
        <v>91</v>
      </c>
      <c r="F51" s="1" t="s">
        <v>140</v>
      </c>
      <c r="G51" s="1" t="s">
        <v>178</v>
      </c>
      <c r="H51" s="1" t="s">
        <v>42</v>
      </c>
      <c r="I51" s="1" t="s">
        <v>116</v>
      </c>
      <c r="J51" s="1" t="s">
        <v>128</v>
      </c>
      <c r="K51" s="1" t="s">
        <v>123</v>
      </c>
      <c r="L51" s="1" t="n">
        <v>11</v>
      </c>
      <c r="M51" s="37" t="n">
        <v>15584</v>
      </c>
      <c r="N51" s="44" t="n">
        <v>0.05</v>
      </c>
      <c r="O51" s="1" t="n">
        <v>8238.41</v>
      </c>
      <c r="P51" s="37" t="n">
        <v>171424</v>
      </c>
      <c r="Q51" s="37" t="n">
        <v>162852.8</v>
      </c>
      <c r="R51" s="37" t="n">
        <v>72230.29</v>
      </c>
      <c r="S51" s="1" t="s">
        <v>97</v>
      </c>
    </row>
    <row r="52" customFormat="false" ht="15" hidden="false" customHeight="true" outlineLevel="0" collapsed="false">
      <c r="A52" s="43" t="n">
        <v>45368</v>
      </c>
      <c r="B52" s="1" t="n">
        <v>2024</v>
      </c>
      <c r="C52" s="1" t="s">
        <v>56</v>
      </c>
      <c r="D52" s="1" t="s">
        <v>90</v>
      </c>
      <c r="E52" s="1" t="s">
        <v>137</v>
      </c>
      <c r="F52" s="1" t="s">
        <v>130</v>
      </c>
      <c r="G52" s="1" t="s">
        <v>179</v>
      </c>
      <c r="H52" s="1" t="s">
        <v>37</v>
      </c>
      <c r="I52" s="1" t="s">
        <v>155</v>
      </c>
      <c r="J52" s="1" t="s">
        <v>150</v>
      </c>
      <c r="K52" s="1" t="s">
        <v>118</v>
      </c>
      <c r="L52" s="1" t="n">
        <v>16</v>
      </c>
      <c r="M52" s="37" t="n">
        <v>49917</v>
      </c>
      <c r="N52" s="44" t="n">
        <v>0.1</v>
      </c>
      <c r="O52" s="1" t="n">
        <v>37558.02</v>
      </c>
      <c r="P52" s="37" t="n">
        <v>798672</v>
      </c>
      <c r="Q52" s="37" t="n">
        <v>718804.8</v>
      </c>
      <c r="R52" s="37" t="n">
        <v>117876.48</v>
      </c>
      <c r="S52" s="1" t="s">
        <v>119</v>
      </c>
    </row>
    <row r="53" customFormat="false" ht="15" hidden="false" customHeight="true" outlineLevel="0" collapsed="false">
      <c r="A53" s="43" t="n">
        <v>45392</v>
      </c>
      <c r="B53" s="1" t="n">
        <v>2024</v>
      </c>
      <c r="C53" s="1" t="s">
        <v>59</v>
      </c>
      <c r="D53" s="1" t="s">
        <v>112</v>
      </c>
      <c r="E53" s="1" t="s">
        <v>137</v>
      </c>
      <c r="F53" s="1" t="s">
        <v>130</v>
      </c>
      <c r="G53" s="1" t="s">
        <v>127</v>
      </c>
      <c r="H53" s="1" t="s">
        <v>32</v>
      </c>
      <c r="I53" s="1" t="s">
        <v>101</v>
      </c>
      <c r="J53" s="1" t="s">
        <v>176</v>
      </c>
      <c r="K53" s="1" t="s">
        <v>118</v>
      </c>
      <c r="L53" s="1" t="n">
        <v>35</v>
      </c>
      <c r="M53" s="37" t="n">
        <v>99147</v>
      </c>
      <c r="N53" s="44" t="n">
        <v>0.08</v>
      </c>
      <c r="O53" s="1" t="n">
        <v>60417.27</v>
      </c>
      <c r="P53" s="37" t="n">
        <v>3470145</v>
      </c>
      <c r="Q53" s="37" t="n">
        <v>3192533.4</v>
      </c>
      <c r="R53" s="37" t="n">
        <v>1077928.95</v>
      </c>
      <c r="S53" s="1" t="s">
        <v>119</v>
      </c>
    </row>
    <row r="54" customFormat="false" ht="15" hidden="false" customHeight="true" outlineLevel="0" collapsed="false">
      <c r="A54" s="43" t="n">
        <v>45423</v>
      </c>
      <c r="B54" s="1" t="n">
        <v>2024</v>
      </c>
      <c r="C54" s="1" t="s">
        <v>62</v>
      </c>
      <c r="D54" s="1" t="s">
        <v>112</v>
      </c>
      <c r="E54" s="1" t="s">
        <v>137</v>
      </c>
      <c r="F54" s="1" t="s">
        <v>121</v>
      </c>
      <c r="G54" s="1" t="s">
        <v>180</v>
      </c>
      <c r="H54" s="1" t="s">
        <v>32</v>
      </c>
      <c r="I54" s="1" t="s">
        <v>116</v>
      </c>
      <c r="J54" s="1" t="s">
        <v>176</v>
      </c>
      <c r="K54" s="1" t="s">
        <v>123</v>
      </c>
      <c r="L54" s="1" t="n">
        <v>10</v>
      </c>
      <c r="M54" s="37" t="n">
        <v>21704</v>
      </c>
      <c r="N54" s="44"/>
      <c r="O54" s="1" t="n">
        <v>16373.39</v>
      </c>
      <c r="P54" s="37" t="n">
        <v>217040</v>
      </c>
      <c r="Q54" s="37"/>
      <c r="R54" s="37" t="n">
        <v>53306.1</v>
      </c>
      <c r="S54" s="1" t="s">
        <v>125</v>
      </c>
    </row>
    <row r="55" customFormat="false" ht="15" hidden="false" customHeight="true" outlineLevel="0" collapsed="false">
      <c r="A55" s="43" t="n">
        <v>45446</v>
      </c>
      <c r="B55" s="1" t="n">
        <v>2024</v>
      </c>
      <c r="C55" s="1" t="s">
        <v>65</v>
      </c>
      <c r="D55" s="1" t="s">
        <v>112</v>
      </c>
      <c r="E55" s="1" t="s">
        <v>98</v>
      </c>
      <c r="F55" s="1" t="s">
        <v>130</v>
      </c>
      <c r="G55" s="1" t="s">
        <v>124</v>
      </c>
      <c r="H55" s="1" t="s">
        <v>35</v>
      </c>
      <c r="I55" s="1" t="s">
        <v>101</v>
      </c>
      <c r="J55" s="1" t="s">
        <v>132</v>
      </c>
      <c r="K55" s="1" t="s">
        <v>123</v>
      </c>
      <c r="L55" s="1" t="n">
        <v>6</v>
      </c>
      <c r="M55" s="37" t="n">
        <v>151885</v>
      </c>
      <c r="N55" s="44"/>
      <c r="O55" s="1" t="n">
        <v>101668.74</v>
      </c>
      <c r="P55" s="37" t="n">
        <v>911310</v>
      </c>
      <c r="Q55" s="37" t="n">
        <v>911310</v>
      </c>
      <c r="R55" s="37" t="n">
        <v>301297.56</v>
      </c>
      <c r="S55" s="1" t="s">
        <v>125</v>
      </c>
    </row>
    <row r="56" customFormat="false" ht="15" hidden="false" customHeight="true" outlineLevel="0" collapsed="false">
      <c r="A56" s="43" t="n">
        <v>45497</v>
      </c>
      <c r="B56" s="1" t="n">
        <v>2024</v>
      </c>
      <c r="C56" s="1" t="s">
        <v>66</v>
      </c>
      <c r="D56" s="1" t="s">
        <v>126</v>
      </c>
      <c r="E56" s="1" t="s">
        <v>91</v>
      </c>
      <c r="F56" s="1" t="s">
        <v>138</v>
      </c>
      <c r="G56" s="1" t="s">
        <v>115</v>
      </c>
      <c r="H56" s="1" t="s">
        <v>36</v>
      </c>
      <c r="I56" s="1" t="s">
        <v>33</v>
      </c>
      <c r="J56" s="1" t="s">
        <v>117</v>
      </c>
      <c r="K56" s="1" t="s">
        <v>118</v>
      </c>
      <c r="L56" s="1" t="n">
        <v>11</v>
      </c>
      <c r="M56" s="37" t="n">
        <v>19588</v>
      </c>
      <c r="N56" s="44" t="n">
        <v>0</v>
      </c>
      <c r="O56" s="1" t="n">
        <v>10825.87</v>
      </c>
      <c r="P56" s="37" t="n">
        <v>215468</v>
      </c>
      <c r="Q56" s="37" t="n">
        <v>215468</v>
      </c>
      <c r="R56" s="37" t="n">
        <v>96383.43</v>
      </c>
      <c r="S56" s="1" t="s">
        <v>119</v>
      </c>
    </row>
    <row r="57" customFormat="false" ht="15" hidden="false" customHeight="true" outlineLevel="0" collapsed="false">
      <c r="A57" s="43" t="n">
        <v>45510</v>
      </c>
      <c r="B57" s="1" t="n">
        <v>2024</v>
      </c>
      <c r="C57" s="1" t="s">
        <v>69</v>
      </c>
      <c r="D57" s="1" t="s">
        <v>126</v>
      </c>
      <c r="E57" s="1" t="s">
        <v>91</v>
      </c>
      <c r="F57" s="1" t="s">
        <v>158</v>
      </c>
      <c r="G57" s="1" t="s">
        <v>178</v>
      </c>
      <c r="H57" s="1" t="s">
        <v>35</v>
      </c>
      <c r="I57" s="1" t="s">
        <v>33</v>
      </c>
      <c r="J57" s="1" t="s">
        <v>132</v>
      </c>
      <c r="K57" s="1" t="s">
        <v>118</v>
      </c>
      <c r="L57" s="1" t="n">
        <v>38</v>
      </c>
      <c r="M57" s="37" t="n">
        <v>132887</v>
      </c>
      <c r="N57" s="44" t="n">
        <v>0.12</v>
      </c>
      <c r="O57" s="1" t="n">
        <v>71674.51</v>
      </c>
      <c r="P57" s="37" t="n">
        <v>5049706</v>
      </c>
      <c r="Q57" s="37" t="n">
        <v>4443741.28</v>
      </c>
      <c r="R57" s="37" t="n">
        <v>1720109.9</v>
      </c>
      <c r="S57" s="1" t="s">
        <v>97</v>
      </c>
    </row>
    <row r="58" customFormat="false" ht="15" hidden="false" customHeight="true" outlineLevel="0" collapsed="false">
      <c r="A58" s="43" t="n">
        <v>45547</v>
      </c>
      <c r="B58" s="1" t="n">
        <v>2024</v>
      </c>
      <c r="C58" s="1" t="s">
        <v>72</v>
      </c>
      <c r="D58" s="1" t="s">
        <v>126</v>
      </c>
      <c r="E58" s="1" t="s">
        <v>129</v>
      </c>
      <c r="F58" s="1" t="s">
        <v>130</v>
      </c>
      <c r="G58" s="1" t="s">
        <v>156</v>
      </c>
      <c r="H58" s="1" t="s">
        <v>42</v>
      </c>
      <c r="I58" s="1" t="s">
        <v>116</v>
      </c>
      <c r="J58" s="1" t="s">
        <v>128</v>
      </c>
      <c r="K58" s="1" t="s">
        <v>118</v>
      </c>
      <c r="L58" s="1" t="n">
        <v>20</v>
      </c>
      <c r="M58" s="37" t="n">
        <v>112845</v>
      </c>
      <c r="N58" s="44" t="n">
        <v>0.05</v>
      </c>
      <c r="O58" s="1" t="n">
        <v>60148.87</v>
      </c>
      <c r="P58" s="37" t="n">
        <v>2256900</v>
      </c>
      <c r="Q58" s="37" t="n">
        <v>2144055</v>
      </c>
      <c r="R58" s="37" t="n">
        <v>941077.6</v>
      </c>
      <c r="S58" s="1" t="s">
        <v>111</v>
      </c>
    </row>
    <row r="59" customFormat="false" ht="15" hidden="false" customHeight="true" outlineLevel="0" collapsed="false">
      <c r="A59" s="43" t="n">
        <v>45574</v>
      </c>
      <c r="B59" s="1" t="n">
        <v>2024</v>
      </c>
      <c r="C59" s="1" t="s">
        <v>75</v>
      </c>
      <c r="D59" s="1" t="s">
        <v>136</v>
      </c>
      <c r="E59" s="1" t="s">
        <v>91</v>
      </c>
      <c r="F59" s="1" t="s">
        <v>160</v>
      </c>
      <c r="G59" s="1" t="s">
        <v>163</v>
      </c>
      <c r="H59" s="1" t="s">
        <v>40</v>
      </c>
      <c r="I59" s="1" t="s">
        <v>41</v>
      </c>
      <c r="J59" s="1" t="s">
        <v>145</v>
      </c>
      <c r="K59" s="1" t="s">
        <v>103</v>
      </c>
      <c r="L59" s="1" t="n">
        <v>19</v>
      </c>
      <c r="M59" s="37" t="n">
        <v>72324</v>
      </c>
      <c r="N59" s="44"/>
      <c r="O59" s="1" t="n">
        <v>38089.55</v>
      </c>
      <c r="P59" s="37" t="n">
        <v>1374156</v>
      </c>
      <c r="Q59" s="37" t="n">
        <v>1374156</v>
      </c>
      <c r="R59" s="37" t="n">
        <v>650454.55</v>
      </c>
      <c r="S59" s="1" t="s">
        <v>104</v>
      </c>
    </row>
    <row r="60" customFormat="false" ht="15" hidden="false" customHeight="true" outlineLevel="0" collapsed="false">
      <c r="A60" s="43" t="n">
        <v>45600</v>
      </c>
      <c r="B60" s="1" t="n">
        <v>2024</v>
      </c>
      <c r="C60" s="1" t="s">
        <v>76</v>
      </c>
      <c r="D60" s="1" t="s">
        <v>136</v>
      </c>
      <c r="E60" s="1" t="s">
        <v>137</v>
      </c>
      <c r="F60" s="1" t="s">
        <v>143</v>
      </c>
      <c r="G60" s="1" t="s">
        <v>181</v>
      </c>
      <c r="H60" s="1" t="s">
        <v>45</v>
      </c>
      <c r="I60" s="1" t="s">
        <v>94</v>
      </c>
      <c r="J60" s="1" t="s">
        <v>95</v>
      </c>
      <c r="K60" s="1" t="s">
        <v>103</v>
      </c>
      <c r="L60" s="1" t="n">
        <v>290</v>
      </c>
      <c r="M60" s="37" t="n">
        <v>46448</v>
      </c>
      <c r="N60" s="44" t="n">
        <v>0.2</v>
      </c>
      <c r="O60" s="1" t="n">
        <v>26213.01</v>
      </c>
      <c r="P60" s="37" t="n">
        <v>13469920</v>
      </c>
      <c r="Q60" s="37" t="n">
        <v>10775936</v>
      </c>
      <c r="R60" s="37" t="n">
        <v>3174163.1</v>
      </c>
      <c r="S60" s="1" t="s">
        <v>125</v>
      </c>
    </row>
    <row r="61" customFormat="false" ht="15" hidden="false" customHeight="true" outlineLevel="0" collapsed="false">
      <c r="A61" s="43" t="n">
        <v>45635</v>
      </c>
      <c r="B61" s="1" t="n">
        <v>2024</v>
      </c>
      <c r="C61" s="1" t="s">
        <v>77</v>
      </c>
      <c r="D61" s="1" t="s">
        <v>136</v>
      </c>
      <c r="E61" s="1" t="s">
        <v>105</v>
      </c>
      <c r="F61" s="1" t="s">
        <v>99</v>
      </c>
      <c r="G61" s="1" t="s">
        <v>179</v>
      </c>
      <c r="H61" s="1" t="s">
        <v>43</v>
      </c>
      <c r="I61" s="1" t="s">
        <v>101</v>
      </c>
      <c r="J61" s="1" t="s">
        <v>148</v>
      </c>
      <c r="K61" s="1" t="s">
        <v>103</v>
      </c>
      <c r="L61" s="1" t="n">
        <v>19</v>
      </c>
      <c r="M61" s="37" t="n">
        <v>100792</v>
      </c>
      <c r="N61" s="44" t="n">
        <v>0.12</v>
      </c>
      <c r="O61" s="1" t="n">
        <v>79324.58</v>
      </c>
      <c r="P61" s="37" t="n">
        <v>1915048</v>
      </c>
      <c r="Q61" s="37" t="n">
        <v>1685242.24</v>
      </c>
      <c r="R61" s="37" t="n">
        <v>178075.22</v>
      </c>
      <c r="S61" s="1" t="s">
        <v>104</v>
      </c>
    </row>
    <row r="62" customFormat="false" ht="15" hidden="false" customHeight="true" outlineLevel="0" collapsed="false">
      <c r="A62" s="43" t="n">
        <v>45303</v>
      </c>
      <c r="B62" s="1" t="n">
        <v>2024</v>
      </c>
      <c r="C62" s="1" t="s">
        <v>50</v>
      </c>
      <c r="D62" s="1" t="s">
        <v>90</v>
      </c>
      <c r="E62" s="1" t="s">
        <v>91</v>
      </c>
      <c r="F62" s="1" t="s">
        <v>138</v>
      </c>
      <c r="G62" s="1" t="s">
        <v>182</v>
      </c>
      <c r="H62" s="1" t="s">
        <v>43</v>
      </c>
      <c r="I62" s="1" t="s">
        <v>116</v>
      </c>
      <c r="J62" s="1" t="s">
        <v>148</v>
      </c>
      <c r="K62" s="1" t="s">
        <v>110</v>
      </c>
      <c r="L62" s="1" t="n">
        <v>8</v>
      </c>
      <c r="M62" s="37" t="n">
        <v>80724</v>
      </c>
      <c r="N62" s="44"/>
      <c r="O62" s="1" t="n">
        <v>39386.95</v>
      </c>
      <c r="P62" s="37" t="n">
        <v>645792</v>
      </c>
      <c r="Q62" s="37" t="n">
        <v>645792</v>
      </c>
      <c r="R62" s="37" t="n">
        <v>330696.4</v>
      </c>
      <c r="S62" s="1" t="s">
        <v>104</v>
      </c>
    </row>
    <row r="63" customFormat="false" ht="15" hidden="false" customHeight="true" outlineLevel="0" collapsed="false">
      <c r="A63" s="43" t="n">
        <v>45343</v>
      </c>
      <c r="B63" s="1" t="n">
        <v>2024</v>
      </c>
      <c r="C63" s="1" t="s">
        <v>53</v>
      </c>
      <c r="D63" s="1" t="s">
        <v>90</v>
      </c>
      <c r="E63" s="1" t="s">
        <v>91</v>
      </c>
      <c r="F63" s="1" t="s">
        <v>92</v>
      </c>
      <c r="G63" s="1" t="s">
        <v>161</v>
      </c>
      <c r="H63" s="1" t="s">
        <v>36</v>
      </c>
      <c r="I63" s="1" t="s">
        <v>116</v>
      </c>
      <c r="J63" s="1" t="s">
        <v>117</v>
      </c>
      <c r="K63" s="1" t="s">
        <v>123</v>
      </c>
      <c r="L63" s="1" t="n">
        <v>27</v>
      </c>
      <c r="M63" s="37" t="n">
        <v>23887</v>
      </c>
      <c r="N63" s="44" t="n">
        <v>0.2</v>
      </c>
      <c r="O63" s="1" t="n">
        <v>19075.55</v>
      </c>
      <c r="P63" s="37" t="n">
        <v>644949</v>
      </c>
      <c r="Q63" s="37" t="n">
        <v>515959.2</v>
      </c>
      <c r="R63" s="37" t="n">
        <v>919.35</v>
      </c>
      <c r="S63" s="1" t="s">
        <v>97</v>
      </c>
    </row>
    <row r="64" customFormat="false" ht="15" hidden="false" customHeight="true" outlineLevel="0" collapsed="false">
      <c r="A64" s="43" t="n">
        <v>45374</v>
      </c>
      <c r="B64" s="1" t="n">
        <v>2024</v>
      </c>
      <c r="C64" s="1" t="s">
        <v>56</v>
      </c>
      <c r="D64" s="1" t="s">
        <v>90</v>
      </c>
      <c r="E64" s="1" t="s">
        <v>129</v>
      </c>
      <c r="F64" s="1" t="s">
        <v>138</v>
      </c>
      <c r="G64" s="1" t="s">
        <v>166</v>
      </c>
      <c r="H64" s="1" t="s">
        <v>46</v>
      </c>
      <c r="I64" s="1" t="s">
        <v>116</v>
      </c>
      <c r="J64" s="1" t="s">
        <v>102</v>
      </c>
      <c r="K64" s="1" t="s">
        <v>123</v>
      </c>
      <c r="L64" s="1" t="n">
        <v>7</v>
      </c>
      <c r="M64" s="37" t="n">
        <v>173389</v>
      </c>
      <c r="N64" s="44" t="n">
        <v>0.2</v>
      </c>
      <c r="O64" s="1" t="n">
        <v>80010.48</v>
      </c>
      <c r="P64" s="37" t="n">
        <v>1213723</v>
      </c>
      <c r="Q64" s="37" t="n">
        <v>970978.4</v>
      </c>
      <c r="R64" s="37" t="n">
        <v>410905.04</v>
      </c>
      <c r="S64" s="1" t="s">
        <v>119</v>
      </c>
    </row>
    <row r="65" customFormat="false" ht="15" hidden="false" customHeight="true" outlineLevel="0" collapsed="false">
      <c r="A65" s="43" t="n">
        <v>45400</v>
      </c>
      <c r="B65" s="1" t="n">
        <v>2024</v>
      </c>
      <c r="C65" s="1" t="s">
        <v>59</v>
      </c>
      <c r="D65" s="1" t="s">
        <v>112</v>
      </c>
      <c r="E65" s="1" t="s">
        <v>137</v>
      </c>
      <c r="F65" s="1" t="s">
        <v>134</v>
      </c>
      <c r="G65" s="1" t="s">
        <v>124</v>
      </c>
      <c r="H65" s="1" t="s">
        <v>39</v>
      </c>
      <c r="I65" s="1" t="s">
        <v>94</v>
      </c>
      <c r="J65" s="1" t="s">
        <v>150</v>
      </c>
      <c r="K65" s="1" t="s">
        <v>133</v>
      </c>
      <c r="L65" s="1" t="n">
        <v>13</v>
      </c>
      <c r="M65" s="37" t="n">
        <v>131201</v>
      </c>
      <c r="N65" s="44" t="n">
        <v>0.15</v>
      </c>
      <c r="O65" s="1" t="n">
        <v>88507.74</v>
      </c>
      <c r="P65" s="37" t="n">
        <v>1705613</v>
      </c>
      <c r="Q65" s="37" t="n">
        <v>1449771.05</v>
      </c>
      <c r="R65" s="37" t="n">
        <v>299170.43</v>
      </c>
      <c r="S65" s="1" t="s">
        <v>111</v>
      </c>
    </row>
    <row r="66" customFormat="false" ht="15" hidden="false" customHeight="true" outlineLevel="0" collapsed="false">
      <c r="A66" s="43" t="n">
        <v>45415</v>
      </c>
      <c r="B66" s="1" t="n">
        <v>2024</v>
      </c>
      <c r="C66" s="1" t="s">
        <v>62</v>
      </c>
      <c r="D66" s="1" t="s">
        <v>112</v>
      </c>
      <c r="E66" s="1" t="s">
        <v>105</v>
      </c>
      <c r="F66" s="1" t="s">
        <v>160</v>
      </c>
      <c r="G66" s="1" t="s">
        <v>183</v>
      </c>
      <c r="H66" s="1" t="s">
        <v>36</v>
      </c>
      <c r="I66" s="1" t="s">
        <v>33</v>
      </c>
      <c r="J66" s="1" t="s">
        <v>117</v>
      </c>
      <c r="K66" s="1" t="s">
        <v>103</v>
      </c>
      <c r="L66" s="1" t="n">
        <v>15</v>
      </c>
      <c r="M66" s="37" t="n">
        <v>50680</v>
      </c>
      <c r="N66" s="44" t="n">
        <v>0</v>
      </c>
      <c r="O66" s="1" t="n">
        <v>27724.3</v>
      </c>
      <c r="P66" s="37" t="n">
        <v>760200</v>
      </c>
      <c r="Q66" s="37" t="n">
        <v>760200</v>
      </c>
      <c r="R66" s="37" t="n">
        <v>344335.5</v>
      </c>
      <c r="S66" s="1" t="s">
        <v>104</v>
      </c>
    </row>
    <row r="67" customFormat="false" ht="15" hidden="false" customHeight="true" outlineLevel="0" collapsed="false">
      <c r="A67" s="43" t="n">
        <v>45444</v>
      </c>
      <c r="B67" s="1" t="n">
        <v>2024</v>
      </c>
      <c r="C67" s="1" t="s">
        <v>65</v>
      </c>
      <c r="D67" s="1" t="s">
        <v>112</v>
      </c>
      <c r="E67" s="1" t="s">
        <v>113</v>
      </c>
      <c r="F67" s="1" t="s">
        <v>170</v>
      </c>
      <c r="G67" s="1" t="s">
        <v>184</v>
      </c>
      <c r="H67" s="1" t="s">
        <v>35</v>
      </c>
      <c r="I67" s="1" t="s">
        <v>33</v>
      </c>
      <c r="J67" s="1" t="s">
        <v>132</v>
      </c>
      <c r="K67" s="1" t="s">
        <v>146</v>
      </c>
      <c r="L67" s="1" t="n">
        <v>12</v>
      </c>
      <c r="M67" s="37" t="n">
        <v>45228</v>
      </c>
      <c r="N67" s="44" t="n">
        <v>0.05</v>
      </c>
      <c r="O67" s="1" t="n">
        <v>32156.33</v>
      </c>
      <c r="P67" s="37" t="n">
        <v>542736</v>
      </c>
      <c r="Q67" s="37" t="n">
        <v>515599.2</v>
      </c>
      <c r="R67" s="37" t="n">
        <v>129723.24</v>
      </c>
      <c r="S67" s="1" t="s">
        <v>125</v>
      </c>
    </row>
    <row r="68" customFormat="false" ht="15" hidden="false" customHeight="true" outlineLevel="0" collapsed="false">
      <c r="A68" s="43" t="n">
        <v>45475</v>
      </c>
      <c r="B68" s="1" t="n">
        <v>2024</v>
      </c>
      <c r="C68" s="1" t="s">
        <v>66</v>
      </c>
      <c r="D68" s="1" t="s">
        <v>126</v>
      </c>
      <c r="E68" s="1" t="s">
        <v>137</v>
      </c>
      <c r="F68" s="1" t="s">
        <v>140</v>
      </c>
      <c r="G68" s="1" t="s">
        <v>161</v>
      </c>
      <c r="H68" s="1" t="s">
        <v>44</v>
      </c>
      <c r="I68" s="1" t="s">
        <v>41</v>
      </c>
      <c r="J68" s="1" t="s">
        <v>109</v>
      </c>
      <c r="K68" s="1" t="s">
        <v>118</v>
      </c>
      <c r="L68" s="1" t="n">
        <v>2</v>
      </c>
      <c r="M68" s="37" t="n">
        <v>137562</v>
      </c>
      <c r="N68" s="44" t="n">
        <v>0.08</v>
      </c>
      <c r="O68" s="1" t="n">
        <v>94936.23</v>
      </c>
      <c r="P68" s="37" t="n">
        <v>275124</v>
      </c>
      <c r="Q68" s="37" t="n">
        <v>253114.08</v>
      </c>
      <c r="R68" s="37" t="n">
        <v>63241.62</v>
      </c>
      <c r="S68" s="1" t="s">
        <v>125</v>
      </c>
    </row>
    <row r="69" customFormat="false" ht="15" hidden="false" customHeight="true" outlineLevel="0" collapsed="false">
      <c r="A69" s="43" t="n">
        <v>45509</v>
      </c>
      <c r="B69" s="1" t="n">
        <v>2024</v>
      </c>
      <c r="C69" s="1" t="s">
        <v>69</v>
      </c>
      <c r="D69" s="1" t="s">
        <v>126</v>
      </c>
      <c r="E69" s="1" t="s">
        <v>113</v>
      </c>
      <c r="F69" s="1" t="s">
        <v>158</v>
      </c>
      <c r="G69" s="1" t="s">
        <v>185</v>
      </c>
      <c r="H69" s="1" t="s">
        <v>34</v>
      </c>
      <c r="I69" s="1" t="s">
        <v>33</v>
      </c>
      <c r="J69" s="1" t="s">
        <v>132</v>
      </c>
      <c r="K69" s="1" t="s">
        <v>110</v>
      </c>
      <c r="L69" s="1" t="n">
        <v>34</v>
      </c>
      <c r="M69" s="37" t="n">
        <v>144527</v>
      </c>
      <c r="N69" s="44" t="n">
        <v>0.05</v>
      </c>
      <c r="O69" s="1" t="n">
        <v>105155.48</v>
      </c>
      <c r="P69" s="37" t="n">
        <v>4913918</v>
      </c>
      <c r="Q69" s="37" t="n">
        <v>4668222.1</v>
      </c>
      <c r="R69" s="37" t="n">
        <v>1092935.78</v>
      </c>
      <c r="S69" s="1" t="s">
        <v>97</v>
      </c>
    </row>
    <row r="70" customFormat="false" ht="15" hidden="false" customHeight="true" outlineLevel="0" collapsed="false">
      <c r="A70" s="43" t="n">
        <v>45550</v>
      </c>
      <c r="B70" s="1" t="n">
        <v>2024</v>
      </c>
      <c r="C70" s="1" t="s">
        <v>72</v>
      </c>
      <c r="D70" s="1" t="s">
        <v>126</v>
      </c>
      <c r="E70" s="1" t="s">
        <v>120</v>
      </c>
      <c r="F70" s="1" t="s">
        <v>121</v>
      </c>
      <c r="G70" s="1" t="s">
        <v>107</v>
      </c>
      <c r="H70" s="1" t="s">
        <v>40</v>
      </c>
      <c r="I70" s="1" t="s">
        <v>144</v>
      </c>
      <c r="J70" s="1" t="s">
        <v>145</v>
      </c>
      <c r="K70" s="1" t="s">
        <v>118</v>
      </c>
      <c r="L70" s="1" t="n">
        <v>27</v>
      </c>
      <c r="M70" s="37" t="n">
        <v>93932</v>
      </c>
      <c r="N70" s="44" t="n">
        <v>0.2</v>
      </c>
      <c r="O70" s="1" t="n">
        <v>54575</v>
      </c>
      <c r="P70" s="37" t="n">
        <v>2536164</v>
      </c>
      <c r="Q70" s="37" t="n">
        <v>2028931.2</v>
      </c>
      <c r="R70" s="37" t="n">
        <v>555406.2</v>
      </c>
      <c r="S70" s="1" t="s">
        <v>104</v>
      </c>
    </row>
    <row r="71" customFormat="false" ht="15" hidden="false" customHeight="true" outlineLevel="0" collapsed="false">
      <c r="A71" s="43" t="n">
        <v>45589</v>
      </c>
      <c r="B71" s="1" t="n">
        <v>2024</v>
      </c>
      <c r="C71" s="1" t="s">
        <v>75</v>
      </c>
      <c r="D71" s="1" t="s">
        <v>136</v>
      </c>
      <c r="E71" s="1" t="s">
        <v>137</v>
      </c>
      <c r="F71" s="1" t="s">
        <v>134</v>
      </c>
      <c r="G71" s="1" t="s">
        <v>186</v>
      </c>
      <c r="H71" s="1" t="s">
        <v>34</v>
      </c>
      <c r="I71" s="1" t="s">
        <v>116</v>
      </c>
      <c r="J71" s="1" t="s">
        <v>132</v>
      </c>
      <c r="K71" s="1" t="s">
        <v>110</v>
      </c>
      <c r="L71" s="1" t="n">
        <v>36</v>
      </c>
      <c r="M71" s="37" t="n">
        <v>44042</v>
      </c>
      <c r="N71" s="44" t="n">
        <v>0.08</v>
      </c>
      <c r="O71" s="1" t="n">
        <v>33200.28</v>
      </c>
      <c r="P71" s="37" t="n">
        <v>1585512</v>
      </c>
      <c r="Q71" s="37" t="n">
        <v>1458671.04</v>
      </c>
      <c r="R71" s="37" t="n">
        <v>263460.96</v>
      </c>
      <c r="S71" s="1" t="s">
        <v>172</v>
      </c>
    </row>
    <row r="72" customFormat="false" ht="15" hidden="false" customHeight="true" outlineLevel="0" collapsed="false">
      <c r="A72" s="43" t="n">
        <v>45601</v>
      </c>
      <c r="B72" s="1" t="n">
        <v>2024</v>
      </c>
      <c r="C72" s="1" t="s">
        <v>76</v>
      </c>
      <c r="D72" s="1" t="s">
        <v>136</v>
      </c>
      <c r="E72" s="1" t="s">
        <v>137</v>
      </c>
      <c r="F72" s="1" t="s">
        <v>138</v>
      </c>
      <c r="G72" s="1" t="s">
        <v>187</v>
      </c>
      <c r="H72" s="1" t="s">
        <v>36</v>
      </c>
      <c r="I72" s="1" t="s">
        <v>116</v>
      </c>
      <c r="J72" s="1" t="s">
        <v>117</v>
      </c>
      <c r="K72" s="1" t="s">
        <v>133</v>
      </c>
      <c r="L72" s="1" t="n">
        <v>36</v>
      </c>
      <c r="M72" s="37" t="n">
        <v>85024</v>
      </c>
      <c r="N72" s="44" t="n">
        <v>0.08</v>
      </c>
      <c r="O72" s="1" t="n">
        <v>63411.27</v>
      </c>
      <c r="P72" s="37" t="n">
        <v>3060864</v>
      </c>
      <c r="Q72" s="37" t="n">
        <v>2815994.88</v>
      </c>
      <c r="R72" s="37" t="n">
        <v>533189.16</v>
      </c>
      <c r="S72" s="1" t="s">
        <v>111</v>
      </c>
    </row>
    <row r="73" customFormat="false" ht="15" hidden="false" customHeight="true" outlineLevel="0" collapsed="false">
      <c r="A73" s="43" t="n">
        <v>45627</v>
      </c>
      <c r="B73" s="1" t="n">
        <v>2024</v>
      </c>
      <c r="C73" s="1" t="s">
        <v>77</v>
      </c>
      <c r="D73" s="1" t="s">
        <v>136</v>
      </c>
      <c r="E73" s="1" t="s">
        <v>120</v>
      </c>
      <c r="F73" s="1" t="s">
        <v>130</v>
      </c>
      <c r="G73" s="1" t="s">
        <v>173</v>
      </c>
      <c r="H73" s="1" t="s">
        <v>37</v>
      </c>
      <c r="I73" s="1" t="s">
        <v>155</v>
      </c>
      <c r="J73" s="1" t="s">
        <v>150</v>
      </c>
      <c r="K73" s="1" t="s">
        <v>133</v>
      </c>
      <c r="L73" s="1" t="n">
        <v>1</v>
      </c>
      <c r="M73" s="37" t="n">
        <v>49552</v>
      </c>
      <c r="N73" s="44" t="n">
        <v>0.08</v>
      </c>
      <c r="O73" s="1" t="n">
        <v>23505.23</v>
      </c>
      <c r="P73" s="37" t="n">
        <v>49552</v>
      </c>
      <c r="Q73" s="37" t="n">
        <v>45587.84</v>
      </c>
      <c r="R73" s="37" t="n">
        <v>22082.61</v>
      </c>
      <c r="S73" s="1" t="s">
        <v>172</v>
      </c>
    </row>
    <row r="74" customFormat="false" ht="15" hidden="false" customHeight="true" outlineLevel="0" collapsed="false">
      <c r="A74" s="43" t="n">
        <v>45302</v>
      </c>
      <c r="B74" s="1" t="n">
        <v>2024</v>
      </c>
      <c r="C74" s="1" t="s">
        <v>50</v>
      </c>
      <c r="D74" s="1" t="s">
        <v>90</v>
      </c>
      <c r="E74" s="1" t="s">
        <v>120</v>
      </c>
      <c r="F74" s="1" t="s">
        <v>130</v>
      </c>
      <c r="G74" s="1" t="s">
        <v>184</v>
      </c>
      <c r="H74" s="1" t="s">
        <v>42</v>
      </c>
      <c r="I74" s="1" t="s">
        <v>33</v>
      </c>
      <c r="J74" s="1" t="s">
        <v>128</v>
      </c>
      <c r="K74" s="1" t="s">
        <v>103</v>
      </c>
      <c r="L74" s="1" t="n">
        <v>37</v>
      </c>
      <c r="M74" s="37" t="n">
        <v>25791</v>
      </c>
      <c r="N74" s="44" t="n">
        <v>0</v>
      </c>
      <c r="O74" s="1" t="n">
        <v>17689.76</v>
      </c>
      <c r="P74" s="37" t="n">
        <v>954267</v>
      </c>
      <c r="Q74" s="37" t="n">
        <v>954267</v>
      </c>
      <c r="R74" s="37" t="n">
        <v>299745.88</v>
      </c>
      <c r="S74" s="1" t="s">
        <v>119</v>
      </c>
    </row>
    <row r="75" customFormat="false" ht="15" hidden="false" customHeight="true" outlineLevel="0" collapsed="false">
      <c r="A75" s="43" t="n">
        <v>45326</v>
      </c>
      <c r="B75" s="1" t="n">
        <v>2024</v>
      </c>
      <c r="C75" s="1" t="s">
        <v>53</v>
      </c>
      <c r="D75" s="1" t="s">
        <v>90</v>
      </c>
      <c r="E75" s="1" t="s">
        <v>113</v>
      </c>
      <c r="F75" s="1" t="s">
        <v>138</v>
      </c>
      <c r="H75" s="1" t="s">
        <v>43</v>
      </c>
      <c r="I75" s="1" t="s">
        <v>101</v>
      </c>
      <c r="J75" s="1" t="s">
        <v>148</v>
      </c>
      <c r="K75" s="1" t="s">
        <v>123</v>
      </c>
      <c r="L75" s="1" t="n">
        <v>38</v>
      </c>
      <c r="M75" s="37" t="n">
        <v>92850</v>
      </c>
      <c r="N75" s="44" t="n">
        <v>0.08</v>
      </c>
      <c r="O75" s="1" t="n">
        <v>73774.52</v>
      </c>
      <c r="P75" s="37" t="n">
        <v>3528300</v>
      </c>
      <c r="Q75" s="37" t="n">
        <v>3246036</v>
      </c>
      <c r="R75" s="37" t="n">
        <v>442604.24</v>
      </c>
      <c r="S75" s="1" t="s">
        <v>97</v>
      </c>
    </row>
    <row r="76" customFormat="false" ht="15" hidden="false" customHeight="true" outlineLevel="0" collapsed="false">
      <c r="A76" s="43" t="n">
        <v>45362</v>
      </c>
      <c r="B76" s="1" t="n">
        <v>2024</v>
      </c>
      <c r="C76" s="1" t="s">
        <v>56</v>
      </c>
      <c r="D76" s="1" t="s">
        <v>90</v>
      </c>
      <c r="E76" s="1" t="s">
        <v>91</v>
      </c>
      <c r="F76" s="1" t="s">
        <v>188</v>
      </c>
      <c r="G76" s="1" t="s">
        <v>189</v>
      </c>
      <c r="H76" s="1" t="s">
        <v>37</v>
      </c>
      <c r="I76" s="1" t="s">
        <v>94</v>
      </c>
      <c r="J76" s="1" t="s">
        <v>150</v>
      </c>
      <c r="K76" s="1" t="s">
        <v>190</v>
      </c>
      <c r="L76" s="1" t="n">
        <v>9</v>
      </c>
      <c r="M76" s="37" t="n">
        <v>72322</v>
      </c>
      <c r="N76" s="44"/>
      <c r="O76" s="1" t="n">
        <v>34369.33</v>
      </c>
      <c r="P76" s="37" t="n">
        <v>650898</v>
      </c>
      <c r="Q76" s="37" t="n">
        <v>650898</v>
      </c>
      <c r="R76" s="37" t="n">
        <v>341574.03</v>
      </c>
      <c r="S76" s="1" t="s">
        <v>172</v>
      </c>
    </row>
    <row r="77" customFormat="false" ht="15" hidden="false" customHeight="true" outlineLevel="0" collapsed="false">
      <c r="A77" s="43" t="n">
        <v>45405</v>
      </c>
      <c r="B77" s="1" t="n">
        <v>2024</v>
      </c>
      <c r="C77" s="1" t="s">
        <v>59</v>
      </c>
      <c r="D77" s="1" t="s">
        <v>112</v>
      </c>
      <c r="E77" s="1" t="s">
        <v>137</v>
      </c>
      <c r="F77" s="1" t="s">
        <v>121</v>
      </c>
      <c r="G77" s="1" t="s">
        <v>131</v>
      </c>
      <c r="H77" s="1" t="s">
        <v>40</v>
      </c>
      <c r="I77" s="1" t="s">
        <v>108</v>
      </c>
      <c r="J77" s="1" t="s">
        <v>145</v>
      </c>
      <c r="K77" s="1" t="s">
        <v>118</v>
      </c>
      <c r="L77" s="1" t="n">
        <v>2</v>
      </c>
      <c r="M77" s="37" t="n">
        <v>57055</v>
      </c>
      <c r="N77" s="44" t="n">
        <v>0.12</v>
      </c>
      <c r="O77" s="1" t="n">
        <v>42289.68</v>
      </c>
      <c r="P77" s="37" t="n">
        <v>114110</v>
      </c>
      <c r="Q77" s="37" t="n">
        <v>100416.8</v>
      </c>
      <c r="R77" s="37" t="n">
        <v>15837.44</v>
      </c>
      <c r="S77" s="1" t="s">
        <v>119</v>
      </c>
    </row>
    <row r="78" customFormat="false" ht="15" hidden="false" customHeight="true" outlineLevel="0" collapsed="false">
      <c r="A78" s="43" t="n">
        <v>45425</v>
      </c>
      <c r="B78" s="1" t="n">
        <v>2024</v>
      </c>
      <c r="C78" s="1" t="s">
        <v>62</v>
      </c>
      <c r="D78" s="1" t="s">
        <v>112</v>
      </c>
      <c r="E78" s="1" t="s">
        <v>105</v>
      </c>
      <c r="F78" s="1" t="s">
        <v>130</v>
      </c>
      <c r="G78" s="1" t="s">
        <v>191</v>
      </c>
      <c r="H78" s="1" t="s">
        <v>34</v>
      </c>
      <c r="I78" s="1" t="s">
        <v>33</v>
      </c>
      <c r="J78" s="1" t="s">
        <v>132</v>
      </c>
      <c r="K78" s="1" t="s">
        <v>133</v>
      </c>
      <c r="L78" s="1" t="n">
        <v>11</v>
      </c>
      <c r="M78" s="37" t="n">
        <v>177996</v>
      </c>
      <c r="N78" s="44" t="n">
        <v>0.15</v>
      </c>
      <c r="O78" s="1" t="n">
        <v>136535.92</v>
      </c>
      <c r="P78" s="37" t="n">
        <v>1957956</v>
      </c>
      <c r="Q78" s="37" t="n">
        <v>1664262.6</v>
      </c>
      <c r="R78" s="37" t="n">
        <v>162367.48</v>
      </c>
      <c r="S78" s="1" t="s">
        <v>119</v>
      </c>
    </row>
    <row r="79" customFormat="false" ht="15" hidden="false" customHeight="true" outlineLevel="0" collapsed="false">
      <c r="A79" s="43" t="n">
        <v>45452</v>
      </c>
      <c r="B79" s="1" t="n">
        <v>2024</v>
      </c>
      <c r="C79" s="1" t="s">
        <v>65</v>
      </c>
      <c r="D79" s="1" t="s">
        <v>112</v>
      </c>
      <c r="E79" s="1" t="s">
        <v>120</v>
      </c>
      <c r="F79" s="1" t="s">
        <v>170</v>
      </c>
      <c r="G79" s="1" t="s">
        <v>127</v>
      </c>
      <c r="H79" s="1" t="s">
        <v>35</v>
      </c>
      <c r="I79" s="1" t="s">
        <v>101</v>
      </c>
      <c r="J79" s="1" t="s">
        <v>132</v>
      </c>
      <c r="K79" s="1" t="s">
        <v>103</v>
      </c>
      <c r="L79" s="1" t="n">
        <v>5</v>
      </c>
      <c r="M79" s="37" t="n">
        <v>176613</v>
      </c>
      <c r="N79" s="44" t="n">
        <v>0.12</v>
      </c>
      <c r="O79" s="1" t="n">
        <v>121579.81</v>
      </c>
      <c r="P79" s="37" t="n">
        <v>883065</v>
      </c>
      <c r="Q79" s="37" t="n">
        <v>777097.2</v>
      </c>
      <c r="R79" s="37" t="n">
        <v>169198.15</v>
      </c>
      <c r="S79" s="1" t="s">
        <v>111</v>
      </c>
    </row>
    <row r="80" customFormat="false" ht="15" hidden="false" customHeight="true" outlineLevel="0" collapsed="false">
      <c r="A80" s="43" t="n">
        <v>45488</v>
      </c>
      <c r="B80" s="1" t="n">
        <v>2024</v>
      </c>
      <c r="C80" s="1" t="s">
        <v>66</v>
      </c>
      <c r="D80" s="1" t="s">
        <v>126</v>
      </c>
      <c r="E80" s="1" t="s">
        <v>91</v>
      </c>
      <c r="F80" s="1" t="s">
        <v>121</v>
      </c>
      <c r="G80" s="1" t="s">
        <v>161</v>
      </c>
      <c r="H80" s="1" t="s">
        <v>35</v>
      </c>
      <c r="I80" s="1" t="s">
        <v>33</v>
      </c>
      <c r="J80" s="1" t="s">
        <v>132</v>
      </c>
      <c r="K80" s="1" t="s">
        <v>103</v>
      </c>
      <c r="L80" s="1" t="n">
        <v>18</v>
      </c>
      <c r="M80" s="37" t="n">
        <v>104259</v>
      </c>
      <c r="N80" s="44" t="n">
        <v>0.2</v>
      </c>
      <c r="O80" s="1" t="n">
        <v>63765.83</v>
      </c>
      <c r="P80" s="37" t="n">
        <v>1876662</v>
      </c>
      <c r="Q80" s="37" t="n">
        <v>1501329.6</v>
      </c>
      <c r="R80" s="37" t="n">
        <v>353544.66</v>
      </c>
      <c r="S80" s="1" t="s">
        <v>97</v>
      </c>
    </row>
    <row r="81" customFormat="false" ht="15" hidden="false" customHeight="true" outlineLevel="0" collapsed="false">
      <c r="A81" s="43" t="n">
        <v>45524</v>
      </c>
      <c r="B81" s="1" t="n">
        <v>2024</v>
      </c>
      <c r="C81" s="1" t="s">
        <v>69</v>
      </c>
      <c r="D81" s="1" t="s">
        <v>126</v>
      </c>
      <c r="E81" s="1" t="s">
        <v>129</v>
      </c>
      <c r="F81" s="1" t="s">
        <v>121</v>
      </c>
      <c r="G81" s="1" t="s">
        <v>169</v>
      </c>
      <c r="H81" s="1" t="s">
        <v>44</v>
      </c>
      <c r="I81" s="1" t="s">
        <v>108</v>
      </c>
      <c r="J81" s="1" t="s">
        <v>109</v>
      </c>
      <c r="K81" s="1" t="s">
        <v>118</v>
      </c>
      <c r="L81" s="1" t="n">
        <v>37</v>
      </c>
      <c r="M81" s="37" t="n">
        <v>96286</v>
      </c>
      <c r="N81" s="44" t="n">
        <v>0.1</v>
      </c>
      <c r="O81" s="1" t="n">
        <v>75604.04</v>
      </c>
      <c r="P81" s="37" t="n">
        <v>3562582</v>
      </c>
      <c r="Q81" s="37" t="n">
        <v>3206323.8</v>
      </c>
      <c r="R81" s="37" t="n">
        <v>408974.32</v>
      </c>
      <c r="S81" s="1" t="s">
        <v>125</v>
      </c>
    </row>
    <row r="82" customFormat="false" ht="15" hidden="false" customHeight="true" outlineLevel="0" collapsed="false">
      <c r="A82" s="43" t="n">
        <v>45541</v>
      </c>
      <c r="B82" s="1" t="n">
        <v>2024</v>
      </c>
      <c r="C82" s="1" t="s">
        <v>72</v>
      </c>
      <c r="D82" s="1" t="s">
        <v>126</v>
      </c>
      <c r="E82" s="1" t="s">
        <v>91</v>
      </c>
      <c r="F82" s="1" t="s">
        <v>170</v>
      </c>
      <c r="G82" s="1" t="s">
        <v>164</v>
      </c>
      <c r="H82" s="1" t="s">
        <v>45</v>
      </c>
      <c r="I82" s="1" t="s">
        <v>155</v>
      </c>
      <c r="J82" s="1" t="s">
        <v>95</v>
      </c>
      <c r="K82" s="1" t="s">
        <v>118</v>
      </c>
      <c r="L82" s="1" t="n">
        <v>34</v>
      </c>
      <c r="M82" s="37" t="n">
        <v>53614</v>
      </c>
      <c r="N82" s="44" t="n">
        <v>0.2</v>
      </c>
      <c r="O82" s="1" t="n">
        <v>31396.13</v>
      </c>
      <c r="P82" s="37" t="n">
        <v>1822876</v>
      </c>
      <c r="Q82" s="37" t="n">
        <v>1458300.8</v>
      </c>
      <c r="R82" s="37" t="n">
        <v>390832.38</v>
      </c>
      <c r="S82" s="1" t="s">
        <v>119</v>
      </c>
    </row>
    <row r="83" customFormat="false" ht="15" hidden="false" customHeight="true" outlineLevel="0" collapsed="false">
      <c r="A83" s="43" t="n">
        <v>45583</v>
      </c>
      <c r="B83" s="1" t="n">
        <v>2024</v>
      </c>
      <c r="C83" s="1" t="s">
        <v>75</v>
      </c>
      <c r="D83" s="1" t="s">
        <v>136</v>
      </c>
      <c r="E83" s="1" t="s">
        <v>137</v>
      </c>
      <c r="F83" s="1" t="s">
        <v>121</v>
      </c>
      <c r="G83" s="1" t="s">
        <v>156</v>
      </c>
      <c r="H83" s="1" t="s">
        <v>34</v>
      </c>
      <c r="I83" s="1" t="s">
        <v>33</v>
      </c>
      <c r="J83" s="1" t="s">
        <v>132</v>
      </c>
      <c r="K83" s="1" t="s">
        <v>123</v>
      </c>
      <c r="L83" s="1" t="n">
        <v>39</v>
      </c>
      <c r="M83" s="37" t="n">
        <v>99388</v>
      </c>
      <c r="N83" s="44" t="n">
        <v>0.1</v>
      </c>
      <c r="O83" s="1" t="n">
        <v>76614.36</v>
      </c>
      <c r="P83" s="37" t="n">
        <v>3876132</v>
      </c>
      <c r="Q83" s="37" t="n">
        <v>3488518.8</v>
      </c>
      <c r="R83" s="37" t="n">
        <v>500558.76</v>
      </c>
      <c r="S83" s="1" t="s">
        <v>119</v>
      </c>
    </row>
    <row r="84" customFormat="false" ht="15" hidden="false" customHeight="true" outlineLevel="0" collapsed="false">
      <c r="A84" s="43" t="n">
        <v>45614</v>
      </c>
      <c r="B84" s="1" t="n">
        <v>2024</v>
      </c>
      <c r="C84" s="1" t="s">
        <v>76</v>
      </c>
      <c r="D84" s="1" t="s">
        <v>136</v>
      </c>
      <c r="E84" s="1" t="s">
        <v>98</v>
      </c>
      <c r="F84" s="1" t="s">
        <v>92</v>
      </c>
      <c r="G84" s="1" t="s">
        <v>153</v>
      </c>
      <c r="H84" s="1" t="s">
        <v>37</v>
      </c>
      <c r="I84" s="1" t="s">
        <v>38</v>
      </c>
      <c r="J84" s="1" t="s">
        <v>150</v>
      </c>
      <c r="K84" s="1" t="s">
        <v>123</v>
      </c>
      <c r="L84" s="1" t="n">
        <v>34</v>
      </c>
      <c r="M84" s="37" t="n">
        <v>122993</v>
      </c>
      <c r="N84" s="44" t="n">
        <v>0</v>
      </c>
      <c r="O84" s="1" t="n">
        <v>70955.79</v>
      </c>
      <c r="P84" s="37" t="n">
        <v>4181762</v>
      </c>
      <c r="Q84" s="37" t="n">
        <v>4181762</v>
      </c>
      <c r="R84" s="37" t="n">
        <v>1769265.14</v>
      </c>
      <c r="S84" s="1" t="s">
        <v>104</v>
      </c>
    </row>
    <row r="85" customFormat="false" ht="15" hidden="false" customHeight="true" outlineLevel="0" collapsed="false">
      <c r="A85" s="43" t="n">
        <v>45629</v>
      </c>
      <c r="B85" s="1" t="n">
        <v>2024</v>
      </c>
      <c r="C85" s="1" t="s">
        <v>77</v>
      </c>
      <c r="D85" s="1" t="s">
        <v>136</v>
      </c>
      <c r="E85" s="1" t="s">
        <v>113</v>
      </c>
      <c r="F85" s="1" t="s">
        <v>106</v>
      </c>
      <c r="G85" s="1" t="s">
        <v>135</v>
      </c>
      <c r="H85" s="1" t="s">
        <v>35</v>
      </c>
      <c r="I85" s="1" t="s">
        <v>101</v>
      </c>
      <c r="J85" s="1" t="s">
        <v>132</v>
      </c>
      <c r="K85" s="1" t="s">
        <v>103</v>
      </c>
      <c r="L85" s="1" t="n">
        <v>340</v>
      </c>
      <c r="M85" s="37" t="n">
        <v>174013</v>
      </c>
      <c r="N85" s="44" t="n">
        <v>0.08</v>
      </c>
      <c r="O85" s="1" t="n">
        <v>87700.55</v>
      </c>
      <c r="P85" s="37" t="n">
        <v>59164420</v>
      </c>
      <c r="Q85" s="37" t="n">
        <v>54431266.4</v>
      </c>
      <c r="R85" s="37" t="n">
        <v>24613079.4</v>
      </c>
      <c r="S85" s="1" t="s">
        <v>104</v>
      </c>
    </row>
    <row r="86" customFormat="false" ht="15" hidden="false" customHeight="true" outlineLevel="0" collapsed="false">
      <c r="A86" s="43" t="n">
        <v>45305</v>
      </c>
      <c r="B86" s="1" t="n">
        <v>2024</v>
      </c>
      <c r="C86" s="1" t="s">
        <v>50</v>
      </c>
      <c r="D86" s="1" t="s">
        <v>90</v>
      </c>
      <c r="E86" s="1" t="s">
        <v>113</v>
      </c>
      <c r="F86" s="1" t="s">
        <v>140</v>
      </c>
      <c r="G86" s="1" t="s">
        <v>178</v>
      </c>
      <c r="H86" s="1" t="s">
        <v>32</v>
      </c>
      <c r="I86" s="1" t="s">
        <v>101</v>
      </c>
      <c r="J86" s="1" t="s">
        <v>176</v>
      </c>
      <c r="K86" s="1" t="s">
        <v>118</v>
      </c>
      <c r="L86" s="1" t="n">
        <v>40</v>
      </c>
      <c r="M86" s="37" t="n">
        <v>129683</v>
      </c>
      <c r="N86" s="44" t="n">
        <v>0.15</v>
      </c>
      <c r="O86" s="1" t="n">
        <v>72403.8</v>
      </c>
      <c r="P86" s="37" t="n">
        <v>5187320</v>
      </c>
      <c r="Q86" s="37" t="n">
        <v>4409222</v>
      </c>
      <c r="R86" s="37" t="n">
        <v>1513070</v>
      </c>
      <c r="S86" s="1" t="s">
        <v>125</v>
      </c>
    </row>
    <row r="87" customFormat="false" ht="15" hidden="false" customHeight="true" outlineLevel="0" collapsed="false">
      <c r="A87" s="43" t="n">
        <v>45347</v>
      </c>
      <c r="B87" s="1" t="n">
        <v>2024</v>
      </c>
      <c r="C87" s="1" t="s">
        <v>53</v>
      </c>
      <c r="D87" s="1" t="s">
        <v>90</v>
      </c>
      <c r="E87" s="1" t="s">
        <v>113</v>
      </c>
      <c r="F87" s="1" t="s">
        <v>121</v>
      </c>
      <c r="G87" s="1" t="s">
        <v>192</v>
      </c>
      <c r="H87" s="1" t="s">
        <v>42</v>
      </c>
      <c r="I87" s="1" t="s">
        <v>101</v>
      </c>
      <c r="J87" s="1" t="s">
        <v>128</v>
      </c>
      <c r="K87" s="1" t="s">
        <v>103</v>
      </c>
      <c r="L87" s="1" t="n">
        <v>13</v>
      </c>
      <c r="M87" s="37" t="n">
        <v>48280</v>
      </c>
      <c r="N87" s="44" t="n">
        <v>0</v>
      </c>
      <c r="O87" s="1" t="n">
        <v>32560.64</v>
      </c>
      <c r="P87" s="37" t="n">
        <v>627640</v>
      </c>
      <c r="Q87" s="37" t="n">
        <v>627640</v>
      </c>
      <c r="R87" s="37" t="n">
        <v>204351.68</v>
      </c>
      <c r="S87" s="1" t="s">
        <v>119</v>
      </c>
    </row>
    <row r="88" customFormat="false" ht="15" hidden="false" customHeight="true" outlineLevel="0" collapsed="false">
      <c r="A88" s="43" t="n">
        <v>45376</v>
      </c>
      <c r="B88" s="1" t="n">
        <v>2024</v>
      </c>
      <c r="C88" s="1" t="s">
        <v>56</v>
      </c>
      <c r="D88" s="1" t="s">
        <v>90</v>
      </c>
      <c r="E88" s="1" t="s">
        <v>120</v>
      </c>
      <c r="F88" s="1" t="s">
        <v>130</v>
      </c>
      <c r="G88" s="1" t="s">
        <v>142</v>
      </c>
      <c r="H88" s="1" t="s">
        <v>34</v>
      </c>
      <c r="I88" s="1" t="s">
        <v>101</v>
      </c>
      <c r="J88" s="1" t="s">
        <v>132</v>
      </c>
      <c r="K88" s="1" t="s">
        <v>96</v>
      </c>
      <c r="L88" s="1" t="n">
        <v>28</v>
      </c>
      <c r="M88" s="37" t="n">
        <v>70205</v>
      </c>
      <c r="N88" s="44"/>
      <c r="O88" s="1" t="n">
        <v>54455.57</v>
      </c>
      <c r="P88" s="37" t="n">
        <v>1965740</v>
      </c>
      <c r="Q88" s="37" t="n">
        <v>1965740</v>
      </c>
      <c r="R88" s="37" t="n">
        <v>440984.04</v>
      </c>
      <c r="S88" s="1" t="s">
        <v>125</v>
      </c>
    </row>
    <row r="89" customFormat="false" ht="15" hidden="false" customHeight="true" outlineLevel="0" collapsed="false">
      <c r="A89" s="43" t="n">
        <v>45383</v>
      </c>
      <c r="B89" s="1" t="n">
        <v>2024</v>
      </c>
      <c r="C89" s="1" t="s">
        <v>59</v>
      </c>
      <c r="D89" s="1" t="s">
        <v>112</v>
      </c>
      <c r="E89" s="1" t="s">
        <v>113</v>
      </c>
      <c r="F89" s="1" t="s">
        <v>106</v>
      </c>
      <c r="G89" s="1" t="s">
        <v>174</v>
      </c>
      <c r="H89" s="1" t="s">
        <v>36</v>
      </c>
      <c r="I89" s="1" t="s">
        <v>33</v>
      </c>
      <c r="J89" s="1" t="s">
        <v>117</v>
      </c>
      <c r="K89" s="1" t="s">
        <v>103</v>
      </c>
      <c r="L89" s="1" t="n">
        <v>10</v>
      </c>
      <c r="M89" s="37" t="n">
        <v>87203</v>
      </c>
      <c r="N89" s="44" t="n">
        <v>0.12</v>
      </c>
      <c r="O89" s="1" t="n">
        <v>60486.2</v>
      </c>
      <c r="P89" s="37" t="n">
        <v>872030</v>
      </c>
      <c r="Q89" s="37" t="n">
        <v>767386.4</v>
      </c>
      <c r="R89" s="37" t="n">
        <v>162524.4</v>
      </c>
      <c r="S89" s="1" t="s">
        <v>104</v>
      </c>
    </row>
    <row r="90" customFormat="false" ht="15" hidden="false" customHeight="true" outlineLevel="0" collapsed="false">
      <c r="A90" s="43" t="n">
        <v>45419</v>
      </c>
      <c r="B90" s="1" t="n">
        <v>2024</v>
      </c>
      <c r="C90" s="1" t="s">
        <v>62</v>
      </c>
      <c r="D90" s="1" t="s">
        <v>112</v>
      </c>
      <c r="E90" s="1" t="s">
        <v>105</v>
      </c>
      <c r="F90" s="1" t="s">
        <v>170</v>
      </c>
      <c r="G90" s="1" t="s">
        <v>154</v>
      </c>
      <c r="H90" s="1" t="s">
        <v>37</v>
      </c>
      <c r="I90" s="1" t="s">
        <v>94</v>
      </c>
      <c r="J90" s="1" t="s">
        <v>150</v>
      </c>
      <c r="K90" s="1" t="s">
        <v>118</v>
      </c>
      <c r="L90" s="1" t="n">
        <v>8</v>
      </c>
      <c r="M90" s="37" t="n">
        <v>74295</v>
      </c>
      <c r="N90" s="44" t="n">
        <v>0</v>
      </c>
      <c r="O90" s="1" t="n">
        <v>39632.95</v>
      </c>
      <c r="P90" s="37" t="n">
        <v>594360</v>
      </c>
      <c r="Q90" s="37" t="n">
        <v>594360</v>
      </c>
      <c r="R90" s="37" t="n">
        <v>277296.4</v>
      </c>
      <c r="S90" s="1" t="s">
        <v>172</v>
      </c>
    </row>
    <row r="91" customFormat="false" ht="15" hidden="false" customHeight="true" outlineLevel="0" collapsed="false">
      <c r="A91" s="43" t="n">
        <v>45444</v>
      </c>
      <c r="B91" s="1" t="n">
        <v>2024</v>
      </c>
      <c r="C91" s="1" t="s">
        <v>65</v>
      </c>
      <c r="D91" s="1" t="s">
        <v>112</v>
      </c>
      <c r="E91" s="1" t="s">
        <v>137</v>
      </c>
      <c r="F91" s="1" t="s">
        <v>160</v>
      </c>
      <c r="G91" s="1" t="s">
        <v>193</v>
      </c>
      <c r="H91" s="1" t="s">
        <v>43</v>
      </c>
      <c r="I91" s="1" t="s">
        <v>116</v>
      </c>
      <c r="J91" s="1" t="s">
        <v>148</v>
      </c>
      <c r="K91" s="1" t="s">
        <v>133</v>
      </c>
      <c r="L91" s="1" t="n">
        <v>280</v>
      </c>
      <c r="M91" s="37" t="n">
        <v>75062</v>
      </c>
      <c r="N91" s="44" t="n">
        <v>0.1</v>
      </c>
      <c r="O91" s="1" t="n">
        <v>51232.06</v>
      </c>
      <c r="P91" s="37" t="n">
        <v>21017360</v>
      </c>
      <c r="Q91" s="37" t="n">
        <v>18915624</v>
      </c>
      <c r="R91" s="37" t="n">
        <v>4570647.2</v>
      </c>
      <c r="S91" s="1" t="s">
        <v>97</v>
      </c>
    </row>
    <row r="92" customFormat="false" ht="15" hidden="false" customHeight="true" outlineLevel="0" collapsed="false">
      <c r="A92" s="43" t="n">
        <v>45474</v>
      </c>
      <c r="B92" s="1" t="n">
        <v>2024</v>
      </c>
      <c r="C92" s="1" t="s">
        <v>66</v>
      </c>
      <c r="D92" s="1" t="s">
        <v>126</v>
      </c>
      <c r="E92" s="1" t="s">
        <v>98</v>
      </c>
      <c r="F92" s="1" t="s">
        <v>138</v>
      </c>
      <c r="G92" s="1" t="s">
        <v>180</v>
      </c>
      <c r="H92" s="1" t="s">
        <v>43</v>
      </c>
      <c r="I92" s="1" t="s">
        <v>33</v>
      </c>
      <c r="J92" s="1" t="s">
        <v>148</v>
      </c>
      <c r="K92" s="1" t="s">
        <v>133</v>
      </c>
      <c r="L92" s="1" t="n">
        <v>17</v>
      </c>
      <c r="M92" s="37" t="n">
        <v>105610</v>
      </c>
      <c r="N92" s="44"/>
      <c r="O92" s="1" t="n">
        <v>56437.36</v>
      </c>
      <c r="P92" s="37" t="n">
        <v>1795370</v>
      </c>
      <c r="Q92" s="37" t="n">
        <v>1795370</v>
      </c>
      <c r="R92" s="37" t="n">
        <v>835934.88</v>
      </c>
      <c r="S92" s="1" t="s">
        <v>172</v>
      </c>
    </row>
    <row r="93" customFormat="false" ht="15" hidden="false" customHeight="true" outlineLevel="0" collapsed="false">
      <c r="A93" s="43" t="n">
        <v>45522</v>
      </c>
      <c r="B93" s="1" t="n">
        <v>2024</v>
      </c>
      <c r="C93" s="1" t="s">
        <v>69</v>
      </c>
      <c r="D93" s="1" t="s">
        <v>126</v>
      </c>
      <c r="E93" s="1" t="s">
        <v>113</v>
      </c>
      <c r="F93" s="1" t="s">
        <v>143</v>
      </c>
      <c r="G93" s="1" t="s">
        <v>177</v>
      </c>
      <c r="H93" s="1" t="s">
        <v>39</v>
      </c>
      <c r="I93" s="1" t="s">
        <v>94</v>
      </c>
      <c r="J93" s="1" t="s">
        <v>150</v>
      </c>
      <c r="K93" s="1" t="s">
        <v>123</v>
      </c>
      <c r="L93" s="1" t="n">
        <v>31</v>
      </c>
      <c r="M93" s="37" t="n">
        <v>47350</v>
      </c>
      <c r="N93" s="44" t="n">
        <v>0.12</v>
      </c>
      <c r="O93" s="1" t="n">
        <v>21920.41</v>
      </c>
      <c r="P93" s="37" t="n">
        <v>1467850</v>
      </c>
      <c r="Q93" s="37" t="n">
        <v>1291708</v>
      </c>
      <c r="R93" s="37" t="n">
        <v>612175.29</v>
      </c>
      <c r="S93" s="1" t="s">
        <v>104</v>
      </c>
    </row>
    <row r="94" customFormat="false" ht="15" hidden="false" customHeight="true" outlineLevel="0" collapsed="false">
      <c r="A94" s="43" t="n">
        <v>45562</v>
      </c>
      <c r="B94" s="1" t="n">
        <v>2024</v>
      </c>
      <c r="C94" s="1" t="s">
        <v>72</v>
      </c>
      <c r="D94" s="1" t="s">
        <v>126</v>
      </c>
      <c r="E94" s="1" t="s">
        <v>129</v>
      </c>
      <c r="F94" s="1" t="s">
        <v>121</v>
      </c>
      <c r="G94" s="1" t="s">
        <v>194</v>
      </c>
      <c r="H94" s="1" t="s">
        <v>40</v>
      </c>
      <c r="I94" s="1" t="s">
        <v>144</v>
      </c>
      <c r="J94" s="1" t="s">
        <v>145</v>
      </c>
      <c r="K94" s="1" t="s">
        <v>103</v>
      </c>
      <c r="L94" s="1" t="n">
        <v>13</v>
      </c>
      <c r="M94" s="37" t="n">
        <v>24531</v>
      </c>
      <c r="N94" s="44"/>
      <c r="O94" s="1" t="n">
        <v>13384.75</v>
      </c>
      <c r="P94" s="37" t="n">
        <v>318903</v>
      </c>
      <c r="Q94" s="37" t="n">
        <v>318903</v>
      </c>
      <c r="R94" s="37" t="n">
        <v>144901.25</v>
      </c>
      <c r="S94" s="1" t="s">
        <v>119</v>
      </c>
    </row>
    <row r="95" customFormat="false" ht="15" hidden="false" customHeight="true" outlineLevel="0" collapsed="false">
      <c r="A95" s="43" t="n">
        <v>45581</v>
      </c>
      <c r="B95" s="1" t="n">
        <v>2024</v>
      </c>
      <c r="C95" s="1" t="s">
        <v>75</v>
      </c>
      <c r="D95" s="1" t="s">
        <v>136</v>
      </c>
      <c r="E95" s="1" t="s">
        <v>137</v>
      </c>
      <c r="F95" s="1" t="s">
        <v>121</v>
      </c>
      <c r="G95" s="1" t="s">
        <v>171</v>
      </c>
      <c r="H95" s="1" t="s">
        <v>35</v>
      </c>
      <c r="I95" s="1" t="s">
        <v>116</v>
      </c>
      <c r="J95" s="1" t="s">
        <v>132</v>
      </c>
      <c r="K95" s="1" t="s">
        <v>133</v>
      </c>
      <c r="L95" s="1" t="n">
        <v>6</v>
      </c>
      <c r="M95" s="37" t="n">
        <v>32690</v>
      </c>
      <c r="N95" s="44" t="n">
        <v>0.1</v>
      </c>
      <c r="O95" s="1" t="n">
        <v>20951.55</v>
      </c>
      <c r="P95" s="37" t="n">
        <v>196140</v>
      </c>
      <c r="Q95" s="37" t="n">
        <v>176526</v>
      </c>
      <c r="R95" s="37" t="n">
        <v>50816.7</v>
      </c>
      <c r="S95" s="1" t="s">
        <v>119</v>
      </c>
    </row>
    <row r="96" customFormat="false" ht="15" hidden="false" customHeight="true" outlineLevel="0" collapsed="false">
      <c r="A96" s="43" t="n">
        <v>45602</v>
      </c>
      <c r="B96" s="1" t="n">
        <v>2024</v>
      </c>
      <c r="C96" s="1" t="s">
        <v>76</v>
      </c>
      <c r="D96" s="1" t="s">
        <v>136</v>
      </c>
      <c r="E96" s="1" t="s">
        <v>137</v>
      </c>
      <c r="F96" s="1" t="s">
        <v>121</v>
      </c>
      <c r="G96" s="1" t="s">
        <v>195</v>
      </c>
      <c r="H96" s="1" t="s">
        <v>40</v>
      </c>
      <c r="I96" s="1" t="s">
        <v>41</v>
      </c>
      <c r="J96" s="1" t="s">
        <v>145</v>
      </c>
      <c r="K96" s="1" t="s">
        <v>146</v>
      </c>
      <c r="L96" s="1" t="n">
        <v>23</v>
      </c>
      <c r="M96" s="37" t="n">
        <v>126017</v>
      </c>
      <c r="N96" s="44" t="n">
        <v>0</v>
      </c>
      <c r="O96" s="1" t="n">
        <v>60017.41</v>
      </c>
      <c r="P96" s="37" t="n">
        <v>2898391</v>
      </c>
      <c r="Q96" s="37" t="n">
        <v>2898391</v>
      </c>
      <c r="R96" s="37" t="n">
        <v>1517990.57</v>
      </c>
      <c r="S96" s="1" t="s">
        <v>172</v>
      </c>
    </row>
    <row r="97" customFormat="false" ht="15" hidden="false" customHeight="true" outlineLevel="0" collapsed="false">
      <c r="A97" s="43" t="n">
        <v>45654</v>
      </c>
      <c r="B97" s="1" t="n">
        <v>2024</v>
      </c>
      <c r="C97" s="1" t="s">
        <v>77</v>
      </c>
      <c r="D97" s="1" t="s">
        <v>136</v>
      </c>
      <c r="E97" s="1" t="s">
        <v>129</v>
      </c>
      <c r="F97" s="1" t="s">
        <v>92</v>
      </c>
      <c r="G97" s="1" t="s">
        <v>194</v>
      </c>
      <c r="H97" s="1" t="s">
        <v>35</v>
      </c>
      <c r="I97" s="1" t="s">
        <v>33</v>
      </c>
      <c r="J97" s="1" t="s">
        <v>132</v>
      </c>
      <c r="K97" s="1" t="s">
        <v>96</v>
      </c>
      <c r="L97" s="1" t="n">
        <v>5</v>
      </c>
      <c r="M97" s="37" t="n">
        <v>108030</v>
      </c>
      <c r="N97" s="44" t="n">
        <v>0</v>
      </c>
      <c r="O97" s="1" t="n">
        <v>71492.44</v>
      </c>
      <c r="P97" s="37" t="n">
        <v>540150</v>
      </c>
      <c r="Q97" s="37" t="n">
        <v>540150</v>
      </c>
      <c r="R97" s="37" t="n">
        <v>182687.8</v>
      </c>
      <c r="S97" s="1" t="s">
        <v>172</v>
      </c>
    </row>
    <row r="98" customFormat="false" ht="15" hidden="false" customHeight="true" outlineLevel="0" collapsed="false">
      <c r="A98" s="43" t="n">
        <v>45303</v>
      </c>
      <c r="B98" s="1" t="n">
        <v>2024</v>
      </c>
      <c r="C98" s="1" t="s">
        <v>50</v>
      </c>
      <c r="D98" s="1" t="s">
        <v>90</v>
      </c>
      <c r="E98" s="1" t="s">
        <v>98</v>
      </c>
      <c r="F98" s="1" t="s">
        <v>130</v>
      </c>
      <c r="G98" s="1" t="s">
        <v>93</v>
      </c>
      <c r="H98" s="1" t="s">
        <v>43</v>
      </c>
      <c r="I98" s="1" t="s">
        <v>101</v>
      </c>
      <c r="J98" s="1" t="s">
        <v>148</v>
      </c>
      <c r="K98" s="1" t="s">
        <v>146</v>
      </c>
      <c r="L98" s="1" t="n">
        <v>2</v>
      </c>
      <c r="M98" s="37" t="n">
        <v>142821</v>
      </c>
      <c r="N98" s="44" t="n">
        <v>0.05</v>
      </c>
      <c r="O98" s="1" t="n">
        <v>77354.97</v>
      </c>
      <c r="P98" s="37" t="n">
        <v>285642</v>
      </c>
      <c r="Q98" s="37" t="n">
        <v>271359.9</v>
      </c>
      <c r="R98" s="37" t="n">
        <v>116649.96</v>
      </c>
      <c r="S98" s="1" t="s">
        <v>119</v>
      </c>
    </row>
    <row r="99" customFormat="false" ht="15" hidden="false" customHeight="true" outlineLevel="0" collapsed="false">
      <c r="A99" s="43" t="n">
        <v>45326</v>
      </c>
      <c r="B99" s="1" t="n">
        <v>2024</v>
      </c>
      <c r="C99" s="1" t="s">
        <v>53</v>
      </c>
      <c r="D99" s="1" t="s">
        <v>90</v>
      </c>
      <c r="E99" s="1" t="s">
        <v>120</v>
      </c>
      <c r="F99" s="1" t="s">
        <v>188</v>
      </c>
      <c r="G99" s="1" t="s">
        <v>196</v>
      </c>
      <c r="H99" s="1" t="s">
        <v>36</v>
      </c>
      <c r="I99" s="1" t="s">
        <v>116</v>
      </c>
      <c r="J99" s="1" t="s">
        <v>117</v>
      </c>
      <c r="K99" s="1" t="s">
        <v>123</v>
      </c>
      <c r="L99" s="1" t="n">
        <v>29</v>
      </c>
      <c r="M99" s="37" t="n">
        <v>95778</v>
      </c>
      <c r="N99" s="44" t="n">
        <v>0.05</v>
      </c>
      <c r="O99" s="1" t="n">
        <v>61537.27</v>
      </c>
      <c r="P99" s="37" t="n">
        <v>2777562</v>
      </c>
      <c r="Q99" s="37" t="n">
        <v>2638683.9</v>
      </c>
      <c r="R99" s="37" t="n">
        <v>854103.07</v>
      </c>
      <c r="S99" s="1" t="s">
        <v>119</v>
      </c>
    </row>
    <row r="100" customFormat="false" ht="15" hidden="false" customHeight="true" outlineLevel="0" collapsed="false">
      <c r="A100" s="43" t="n">
        <v>45377</v>
      </c>
      <c r="B100" s="1" t="n">
        <v>2024</v>
      </c>
      <c r="C100" s="1" t="s">
        <v>56</v>
      </c>
      <c r="D100" s="1" t="s">
        <v>90</v>
      </c>
      <c r="E100" s="1" t="s">
        <v>113</v>
      </c>
      <c r="F100" s="1" t="s">
        <v>160</v>
      </c>
      <c r="G100" s="1" t="s">
        <v>159</v>
      </c>
      <c r="H100" s="1" t="s">
        <v>35</v>
      </c>
      <c r="I100" s="1" t="s">
        <v>116</v>
      </c>
      <c r="J100" s="1" t="s">
        <v>132</v>
      </c>
      <c r="K100" s="1" t="s">
        <v>96</v>
      </c>
      <c r="L100" s="1" t="n">
        <v>9</v>
      </c>
      <c r="M100" s="37" t="n">
        <v>566016</v>
      </c>
      <c r="N100" s="44"/>
      <c r="O100" s="1" t="n">
        <v>347302.91</v>
      </c>
      <c r="P100" s="37" t="n">
        <v>5094144</v>
      </c>
      <c r="Q100" s="37" t="n">
        <v>5094144</v>
      </c>
      <c r="R100" s="37" t="n">
        <v>1968417.81</v>
      </c>
      <c r="S100" s="1" t="s">
        <v>111</v>
      </c>
    </row>
    <row r="101" customFormat="false" ht="15" hidden="false" customHeight="true" outlineLevel="0" collapsed="false">
      <c r="A101" s="43" t="n">
        <v>45398</v>
      </c>
      <c r="B101" s="1" t="n">
        <v>2024</v>
      </c>
      <c r="C101" s="1" t="s">
        <v>59</v>
      </c>
      <c r="D101" s="1" t="s">
        <v>112</v>
      </c>
      <c r="E101" s="1" t="s">
        <v>129</v>
      </c>
      <c r="F101" s="1" t="s">
        <v>121</v>
      </c>
      <c r="G101" s="1" t="s">
        <v>165</v>
      </c>
      <c r="H101" s="1" t="s">
        <v>46</v>
      </c>
      <c r="I101" s="1" t="s">
        <v>33</v>
      </c>
      <c r="J101" s="1" t="s">
        <v>102</v>
      </c>
      <c r="K101" s="1" t="s">
        <v>96</v>
      </c>
      <c r="L101" s="1" t="n">
        <v>21</v>
      </c>
      <c r="M101" s="37" t="n">
        <v>129958</v>
      </c>
      <c r="N101" s="44"/>
      <c r="O101" s="1" t="n">
        <v>64318.44</v>
      </c>
      <c r="P101" s="37" t="n">
        <v>2729118</v>
      </c>
      <c r="Q101" s="37" t="n">
        <v>2729118</v>
      </c>
      <c r="R101" s="37" t="n">
        <v>1378430.76</v>
      </c>
      <c r="S101" s="1" t="s">
        <v>111</v>
      </c>
    </row>
    <row r="102" customFormat="false" ht="15" hidden="false" customHeight="true" outlineLevel="0" collapsed="false">
      <c r="A102" s="43" t="n">
        <v>45429</v>
      </c>
      <c r="B102" s="1" t="n">
        <v>2024</v>
      </c>
      <c r="C102" s="1" t="s">
        <v>62</v>
      </c>
      <c r="D102" s="1" t="s">
        <v>112</v>
      </c>
      <c r="E102" s="1" t="s">
        <v>120</v>
      </c>
      <c r="F102" s="1" t="s">
        <v>134</v>
      </c>
      <c r="G102" s="1" t="s">
        <v>192</v>
      </c>
      <c r="H102" s="1" t="s">
        <v>34</v>
      </c>
      <c r="I102" s="1" t="s">
        <v>33</v>
      </c>
      <c r="J102" s="1" t="s">
        <v>132</v>
      </c>
      <c r="K102" s="1" t="s">
        <v>133</v>
      </c>
      <c r="L102" s="1" t="n">
        <v>15</v>
      </c>
      <c r="M102" s="37" t="n">
        <v>148025</v>
      </c>
      <c r="N102" s="44" t="n">
        <v>0.05</v>
      </c>
      <c r="O102" s="1" t="n">
        <v>79594.8</v>
      </c>
      <c r="P102" s="37" t="n">
        <v>2220375</v>
      </c>
      <c r="Q102" s="37" t="n">
        <v>2109356.25</v>
      </c>
      <c r="R102" s="37" t="n">
        <v>915434.25</v>
      </c>
      <c r="S102" s="1" t="s">
        <v>172</v>
      </c>
    </row>
    <row r="103" customFormat="false" ht="15" hidden="false" customHeight="true" outlineLevel="0" collapsed="false">
      <c r="A103" s="43" t="n">
        <v>45464</v>
      </c>
      <c r="B103" s="1" t="n">
        <v>2024</v>
      </c>
      <c r="C103" s="1" t="s">
        <v>65</v>
      </c>
      <c r="D103" s="1" t="s">
        <v>112</v>
      </c>
      <c r="E103" s="1" t="s">
        <v>120</v>
      </c>
      <c r="F103" s="1" t="s">
        <v>160</v>
      </c>
      <c r="G103" s="1" t="s">
        <v>197</v>
      </c>
      <c r="H103" s="1" t="s">
        <v>43</v>
      </c>
      <c r="I103" s="1" t="s">
        <v>33</v>
      </c>
      <c r="J103" s="1" t="s">
        <v>148</v>
      </c>
      <c r="K103" s="1" t="s">
        <v>123</v>
      </c>
      <c r="L103" s="1" t="n">
        <v>40</v>
      </c>
      <c r="M103" s="37" t="n">
        <v>170633</v>
      </c>
      <c r="N103" s="44" t="n">
        <v>0</v>
      </c>
      <c r="O103" s="1" t="n">
        <v>126069.24</v>
      </c>
      <c r="P103" s="37" t="n">
        <v>6825320</v>
      </c>
      <c r="Q103" s="37" t="n">
        <v>6825320</v>
      </c>
      <c r="R103" s="37" t="n">
        <v>1782550.4</v>
      </c>
      <c r="S103" s="1" t="s">
        <v>97</v>
      </c>
    </row>
    <row r="104" customFormat="false" ht="15" hidden="false" customHeight="true" outlineLevel="0" collapsed="false">
      <c r="A104" s="43" t="n">
        <v>45487</v>
      </c>
      <c r="B104" s="1" t="n">
        <v>2024</v>
      </c>
      <c r="C104" s="1" t="s">
        <v>66</v>
      </c>
      <c r="D104" s="1" t="s">
        <v>126</v>
      </c>
      <c r="E104" s="1" t="s">
        <v>129</v>
      </c>
      <c r="F104" s="1" t="s">
        <v>143</v>
      </c>
      <c r="G104" s="1" t="s">
        <v>163</v>
      </c>
      <c r="H104" s="1" t="s">
        <v>44</v>
      </c>
      <c r="I104" s="1" t="s">
        <v>144</v>
      </c>
      <c r="J104" s="1" t="s">
        <v>109</v>
      </c>
      <c r="K104" s="1" t="s">
        <v>123</v>
      </c>
      <c r="L104" s="1" t="n">
        <v>35</v>
      </c>
      <c r="M104" s="37" t="n">
        <v>91192</v>
      </c>
      <c r="N104" s="44" t="n">
        <v>0.08</v>
      </c>
      <c r="O104" s="1" t="n">
        <v>50529.66</v>
      </c>
      <c r="P104" s="37" t="n">
        <v>3191720</v>
      </c>
      <c r="Q104" s="37" t="n">
        <v>2936382.4</v>
      </c>
      <c r="R104" s="37" t="n">
        <v>1167844.3</v>
      </c>
      <c r="S104" s="1" t="s">
        <v>97</v>
      </c>
    </row>
    <row r="105" customFormat="false" ht="15" hidden="false" customHeight="true" outlineLevel="0" collapsed="false">
      <c r="A105" s="43" t="n">
        <v>45509</v>
      </c>
      <c r="B105" s="1" t="n">
        <v>2024</v>
      </c>
      <c r="C105" s="1" t="s">
        <v>69</v>
      </c>
      <c r="D105" s="1" t="s">
        <v>126</v>
      </c>
      <c r="E105" s="1" t="s">
        <v>113</v>
      </c>
      <c r="F105" s="1" t="s">
        <v>92</v>
      </c>
      <c r="G105" s="1" t="s">
        <v>198</v>
      </c>
      <c r="H105" s="1" t="s">
        <v>44</v>
      </c>
      <c r="I105" s="1" t="s">
        <v>144</v>
      </c>
      <c r="J105" s="1" t="s">
        <v>109</v>
      </c>
      <c r="K105" s="1" t="s">
        <v>118</v>
      </c>
      <c r="L105" s="1" t="n">
        <v>9</v>
      </c>
      <c r="M105" s="37" t="n">
        <v>146998</v>
      </c>
      <c r="N105" s="44"/>
      <c r="O105" s="1" t="n">
        <v>78586.34</v>
      </c>
      <c r="P105" s="37" t="n">
        <v>1322982</v>
      </c>
      <c r="Q105" s="37" t="n">
        <v>1322982</v>
      </c>
      <c r="R105" s="37" t="n">
        <v>615704.94</v>
      </c>
      <c r="S105" s="1" t="s">
        <v>97</v>
      </c>
    </row>
    <row r="106" customFormat="false" ht="15" hidden="false" customHeight="true" outlineLevel="0" collapsed="false">
      <c r="A106" s="43" t="n">
        <v>45549</v>
      </c>
      <c r="B106" s="1" t="n">
        <v>2024</v>
      </c>
      <c r="C106" s="1" t="s">
        <v>72</v>
      </c>
      <c r="D106" s="1" t="s">
        <v>126</v>
      </c>
      <c r="E106" s="1" t="s">
        <v>120</v>
      </c>
      <c r="F106" s="1" t="s">
        <v>99</v>
      </c>
      <c r="G106" s="1" t="s">
        <v>199</v>
      </c>
      <c r="H106" s="1" t="s">
        <v>44</v>
      </c>
      <c r="I106" s="1" t="s">
        <v>144</v>
      </c>
      <c r="J106" s="1" t="s">
        <v>109</v>
      </c>
      <c r="K106" s="1" t="s">
        <v>96</v>
      </c>
      <c r="L106" s="1" t="n">
        <v>11</v>
      </c>
      <c r="M106" s="37" t="n">
        <v>146932</v>
      </c>
      <c r="N106" s="44" t="n">
        <v>0.2</v>
      </c>
      <c r="O106" s="1" t="n">
        <v>91697.26</v>
      </c>
      <c r="P106" s="37" t="n">
        <v>1616252</v>
      </c>
      <c r="Q106" s="37" t="n">
        <v>1293001.6</v>
      </c>
      <c r="R106" s="37" t="n">
        <v>284331.74</v>
      </c>
      <c r="S106" s="1" t="s">
        <v>97</v>
      </c>
    </row>
    <row r="107" customFormat="false" ht="15" hidden="false" customHeight="true" outlineLevel="0" collapsed="false">
      <c r="A107" s="43" t="n">
        <v>45567</v>
      </c>
      <c r="B107" s="1" t="n">
        <v>2024</v>
      </c>
      <c r="C107" s="1" t="s">
        <v>75</v>
      </c>
      <c r="D107" s="1" t="s">
        <v>136</v>
      </c>
      <c r="E107" s="1" t="s">
        <v>113</v>
      </c>
      <c r="F107" s="1" t="s">
        <v>121</v>
      </c>
      <c r="G107" s="1" t="s">
        <v>200</v>
      </c>
      <c r="H107" s="1" t="s">
        <v>32</v>
      </c>
      <c r="I107" s="1" t="s">
        <v>116</v>
      </c>
      <c r="J107" s="1" t="s">
        <v>176</v>
      </c>
      <c r="K107" s="1" t="s">
        <v>110</v>
      </c>
      <c r="L107" s="1" t="n">
        <v>1</v>
      </c>
      <c r="M107" s="37" t="n">
        <v>124965</v>
      </c>
      <c r="N107" s="44" t="n">
        <v>0.2</v>
      </c>
      <c r="O107" s="1" t="n">
        <v>88053.82</v>
      </c>
      <c r="P107" s="37" t="n">
        <v>124965</v>
      </c>
      <c r="Q107" s="37" t="n">
        <v>99972</v>
      </c>
      <c r="R107" s="37" t="n">
        <v>11918.18</v>
      </c>
      <c r="S107" s="1" t="s">
        <v>125</v>
      </c>
    </row>
    <row r="108" customFormat="false" ht="15" hidden="false" customHeight="true" outlineLevel="0" collapsed="false">
      <c r="A108" s="43" t="n">
        <v>45599</v>
      </c>
      <c r="B108" s="1" t="n">
        <v>2024</v>
      </c>
      <c r="C108" s="1" t="s">
        <v>76</v>
      </c>
      <c r="D108" s="1" t="s">
        <v>136</v>
      </c>
      <c r="E108" s="1" t="s">
        <v>98</v>
      </c>
      <c r="F108" s="1" t="s">
        <v>158</v>
      </c>
      <c r="G108" s="1" t="s">
        <v>100</v>
      </c>
      <c r="H108" s="1" t="s">
        <v>37</v>
      </c>
      <c r="I108" s="1" t="s">
        <v>155</v>
      </c>
      <c r="J108" s="1" t="s">
        <v>150</v>
      </c>
      <c r="K108" s="1" t="s">
        <v>103</v>
      </c>
      <c r="L108" s="1" t="n">
        <v>40</v>
      </c>
      <c r="M108" s="37" t="n">
        <v>43145</v>
      </c>
      <c r="N108" s="44" t="n">
        <v>0.05</v>
      </c>
      <c r="O108" s="1" t="n">
        <v>25363.49</v>
      </c>
      <c r="P108" s="37" t="n">
        <v>1725800</v>
      </c>
      <c r="Q108" s="37" t="n">
        <v>1639510</v>
      </c>
      <c r="R108" s="37" t="n">
        <v>624970.4</v>
      </c>
      <c r="S108" s="1" t="s">
        <v>119</v>
      </c>
    </row>
    <row r="109" customFormat="false" ht="15" hidden="false" customHeight="true" outlineLevel="0" collapsed="false">
      <c r="A109" s="43" t="n">
        <v>45628</v>
      </c>
      <c r="B109" s="1" t="n">
        <v>2024</v>
      </c>
      <c r="C109" s="1" t="s">
        <v>77</v>
      </c>
      <c r="D109" s="1" t="s">
        <v>136</v>
      </c>
      <c r="E109" s="1" t="s">
        <v>91</v>
      </c>
      <c r="F109" s="1" t="s">
        <v>114</v>
      </c>
      <c r="G109" s="1" t="s">
        <v>174</v>
      </c>
      <c r="H109" s="1" t="s">
        <v>43</v>
      </c>
      <c r="I109" s="1" t="s">
        <v>116</v>
      </c>
      <c r="J109" s="1" t="s">
        <v>148</v>
      </c>
      <c r="K109" s="1" t="s">
        <v>103</v>
      </c>
      <c r="L109" s="1" t="n">
        <v>31</v>
      </c>
      <c r="M109" s="37" t="n">
        <v>51043</v>
      </c>
      <c r="N109" s="44" t="n">
        <v>0.1</v>
      </c>
      <c r="O109" s="1" t="n">
        <v>28828.48</v>
      </c>
      <c r="P109" s="37" t="n">
        <v>1582333</v>
      </c>
      <c r="Q109" s="37" t="n">
        <v>1424099.7</v>
      </c>
      <c r="R109" s="37" t="n">
        <v>530416.82</v>
      </c>
      <c r="S109" s="1" t="s">
        <v>111</v>
      </c>
    </row>
    <row r="110" customFormat="false" ht="15" hidden="false" customHeight="true" outlineLevel="0" collapsed="false">
      <c r="A110" s="43" t="n">
        <v>45308</v>
      </c>
      <c r="B110" s="1" t="n">
        <v>2024</v>
      </c>
      <c r="C110" s="1" t="s">
        <v>50</v>
      </c>
      <c r="D110" s="1" t="s">
        <v>90</v>
      </c>
      <c r="E110" s="1" t="s">
        <v>105</v>
      </c>
      <c r="F110" s="1" t="s">
        <v>158</v>
      </c>
      <c r="G110" s="1" t="s">
        <v>161</v>
      </c>
      <c r="H110" s="1" t="s">
        <v>39</v>
      </c>
      <c r="I110" s="1" t="s">
        <v>94</v>
      </c>
      <c r="J110" s="1" t="s">
        <v>150</v>
      </c>
      <c r="K110" s="1" t="s">
        <v>118</v>
      </c>
      <c r="L110" s="1" t="n">
        <v>2</v>
      </c>
      <c r="M110" s="37" t="n">
        <v>40732</v>
      </c>
      <c r="N110" s="44" t="n">
        <v>0.2</v>
      </c>
      <c r="O110" s="1" t="n">
        <v>29688.1</v>
      </c>
      <c r="P110" s="37" t="n">
        <v>81464</v>
      </c>
      <c r="Q110" s="37" t="n">
        <v>65171.2</v>
      </c>
      <c r="R110" s="37" t="n">
        <v>5795</v>
      </c>
      <c r="S110" s="1" t="s">
        <v>172</v>
      </c>
    </row>
    <row r="111" customFormat="false" ht="15" hidden="false" customHeight="true" outlineLevel="0" collapsed="false">
      <c r="A111" s="43" t="n">
        <v>45341</v>
      </c>
      <c r="B111" s="1" t="n">
        <v>2024</v>
      </c>
      <c r="C111" s="1" t="s">
        <v>53</v>
      </c>
      <c r="D111" s="1" t="s">
        <v>90</v>
      </c>
      <c r="E111" s="1" t="s">
        <v>120</v>
      </c>
      <c r="F111" s="1" t="s">
        <v>143</v>
      </c>
      <c r="G111" s="1" t="s">
        <v>179</v>
      </c>
      <c r="H111" s="1" t="s">
        <v>44</v>
      </c>
      <c r="I111" s="1" t="s">
        <v>144</v>
      </c>
      <c r="J111" s="1" t="s">
        <v>109</v>
      </c>
      <c r="K111" s="1" t="s">
        <v>96</v>
      </c>
      <c r="L111" s="1" t="n">
        <v>34</v>
      </c>
      <c r="M111" s="37" t="n">
        <v>174460</v>
      </c>
      <c r="N111" s="44" t="n">
        <v>0.08</v>
      </c>
      <c r="O111" s="1" t="n">
        <v>87530.33</v>
      </c>
      <c r="P111" s="37" t="n">
        <v>5931640</v>
      </c>
      <c r="Q111" s="37" t="n">
        <v>5457108.8</v>
      </c>
      <c r="R111" s="37" t="n">
        <v>2481077.58</v>
      </c>
      <c r="S111" s="1" t="s">
        <v>172</v>
      </c>
    </row>
    <row r="112" customFormat="false" ht="15" hidden="false" customHeight="true" outlineLevel="0" collapsed="false">
      <c r="A112" s="43" t="n">
        <v>45365</v>
      </c>
      <c r="B112" s="1" t="n">
        <v>2024</v>
      </c>
      <c r="C112" s="1" t="s">
        <v>56</v>
      </c>
      <c r="D112" s="1" t="s">
        <v>90</v>
      </c>
      <c r="E112" s="1" t="s">
        <v>120</v>
      </c>
      <c r="F112" s="1" t="s">
        <v>138</v>
      </c>
      <c r="G112" s="1" t="s">
        <v>201</v>
      </c>
      <c r="H112" s="1" t="s">
        <v>39</v>
      </c>
      <c r="I112" s="1" t="s">
        <v>94</v>
      </c>
      <c r="J112" s="1" t="s">
        <v>150</v>
      </c>
      <c r="K112" s="1" t="s">
        <v>110</v>
      </c>
      <c r="L112" s="1" t="n">
        <v>40</v>
      </c>
      <c r="M112" s="37" t="n">
        <v>28326</v>
      </c>
      <c r="N112" s="44" t="n">
        <v>0.15</v>
      </c>
      <c r="O112" s="1" t="n">
        <v>18307.39</v>
      </c>
      <c r="P112" s="37" t="n">
        <v>1133040</v>
      </c>
      <c r="Q112" s="37" t="n">
        <v>963084</v>
      </c>
      <c r="R112" s="37" t="n">
        <v>230788.4</v>
      </c>
      <c r="S112" s="1" t="s">
        <v>172</v>
      </c>
    </row>
    <row r="113" customFormat="false" ht="15" hidden="false" customHeight="true" outlineLevel="0" collapsed="false">
      <c r="A113" s="43" t="n">
        <v>45400</v>
      </c>
      <c r="B113" s="1" t="n">
        <v>2024</v>
      </c>
      <c r="C113" s="1" t="s">
        <v>59</v>
      </c>
      <c r="D113" s="1" t="s">
        <v>112</v>
      </c>
      <c r="E113" s="1" t="s">
        <v>113</v>
      </c>
      <c r="F113" s="1" t="s">
        <v>140</v>
      </c>
      <c r="G113" s="1" t="s">
        <v>182</v>
      </c>
      <c r="H113" s="1" t="s">
        <v>39</v>
      </c>
      <c r="I113" s="1" t="s">
        <v>155</v>
      </c>
      <c r="J113" s="1" t="s">
        <v>150</v>
      </c>
      <c r="K113" s="1" t="s">
        <v>110</v>
      </c>
      <c r="L113" s="1" t="n">
        <v>31</v>
      </c>
      <c r="M113" s="37" t="n">
        <v>76623</v>
      </c>
      <c r="N113" s="44" t="n">
        <v>0.2</v>
      </c>
      <c r="O113" s="1" t="n">
        <v>40510.85</v>
      </c>
      <c r="P113" s="37" t="n">
        <v>2375313</v>
      </c>
      <c r="Q113" s="37" t="n">
        <v>1900250.4</v>
      </c>
      <c r="R113" s="37" t="n">
        <v>644414.05</v>
      </c>
      <c r="S113" s="1" t="s">
        <v>119</v>
      </c>
    </row>
    <row r="114" customFormat="false" ht="15" hidden="false" customHeight="true" outlineLevel="0" collapsed="false">
      <c r="A114" s="43" t="n">
        <v>45430</v>
      </c>
      <c r="B114" s="1" t="n">
        <v>2024</v>
      </c>
      <c r="C114" s="1" t="s">
        <v>62</v>
      </c>
      <c r="D114" s="1" t="s">
        <v>112</v>
      </c>
      <c r="E114" s="1" t="s">
        <v>105</v>
      </c>
      <c r="F114" s="1" t="s">
        <v>92</v>
      </c>
      <c r="G114" s="1" t="s">
        <v>200</v>
      </c>
      <c r="H114" s="1" t="s">
        <v>39</v>
      </c>
      <c r="I114" s="1" t="s">
        <v>155</v>
      </c>
      <c r="J114" s="1" t="s">
        <v>150</v>
      </c>
      <c r="K114" s="1" t="s">
        <v>146</v>
      </c>
      <c r="L114" s="1" t="n">
        <v>37</v>
      </c>
      <c r="M114" s="37" t="n">
        <v>111534</v>
      </c>
      <c r="N114" s="44" t="n">
        <v>0.08</v>
      </c>
      <c r="O114" s="1" t="n">
        <v>82137.22</v>
      </c>
      <c r="P114" s="37" t="n">
        <v>4126758</v>
      </c>
      <c r="Q114" s="37" t="n">
        <v>3796617.36</v>
      </c>
      <c r="R114" s="37" t="n">
        <v>757540.22</v>
      </c>
      <c r="S114" s="1" t="s">
        <v>104</v>
      </c>
    </row>
    <row r="115" customFormat="false" ht="15" hidden="false" customHeight="true" outlineLevel="0" collapsed="false">
      <c r="A115" s="43" t="n">
        <v>45452</v>
      </c>
      <c r="B115" s="1" t="n">
        <v>2024</v>
      </c>
      <c r="C115" s="1" t="s">
        <v>65</v>
      </c>
      <c r="D115" s="1" t="s">
        <v>112</v>
      </c>
      <c r="E115" s="1" t="s">
        <v>137</v>
      </c>
      <c r="F115" s="1" t="s">
        <v>138</v>
      </c>
      <c r="G115" s="1" t="s">
        <v>202</v>
      </c>
      <c r="H115" s="1" t="s">
        <v>45</v>
      </c>
      <c r="I115" s="1" t="s">
        <v>94</v>
      </c>
      <c r="J115" s="1" t="s">
        <v>95</v>
      </c>
      <c r="K115" s="1" t="s">
        <v>103</v>
      </c>
      <c r="L115" s="1" t="n">
        <v>35</v>
      </c>
      <c r="M115" s="37" t="n">
        <v>159329</v>
      </c>
      <c r="N115" s="44" t="n">
        <v>0.1</v>
      </c>
      <c r="O115" s="1" t="n">
        <v>77789.09</v>
      </c>
      <c r="P115" s="37" t="n">
        <v>5576515</v>
      </c>
      <c r="Q115" s="37" t="n">
        <v>5018863.5</v>
      </c>
      <c r="R115" s="37" t="n">
        <v>2296245.35</v>
      </c>
      <c r="S115" s="1" t="s">
        <v>172</v>
      </c>
    </row>
    <row r="116" customFormat="false" ht="15" hidden="false" customHeight="true" outlineLevel="0" collapsed="false">
      <c r="A116" s="43" t="n">
        <v>45475</v>
      </c>
      <c r="B116" s="1" t="n">
        <v>2024</v>
      </c>
      <c r="C116" s="1" t="s">
        <v>66</v>
      </c>
      <c r="D116" s="1" t="s">
        <v>126</v>
      </c>
      <c r="E116" s="1" t="s">
        <v>91</v>
      </c>
      <c r="F116" s="1" t="s">
        <v>121</v>
      </c>
      <c r="G116" s="1" t="s">
        <v>203</v>
      </c>
      <c r="H116" s="1" t="s">
        <v>36</v>
      </c>
      <c r="I116" s="1" t="s">
        <v>33</v>
      </c>
      <c r="J116" s="1" t="s">
        <v>117</v>
      </c>
      <c r="K116" s="1" t="s">
        <v>146</v>
      </c>
      <c r="L116" s="1" t="n">
        <v>63</v>
      </c>
      <c r="M116" s="37" t="n">
        <v>118668</v>
      </c>
      <c r="N116" s="44" t="n">
        <v>0.12</v>
      </c>
      <c r="O116" s="1" t="n">
        <v>73230.85</v>
      </c>
      <c r="P116" s="37" t="n">
        <v>7476084</v>
      </c>
      <c r="Q116" s="37" t="n">
        <v>6578953.92</v>
      </c>
      <c r="R116" s="37" t="n">
        <v>1965410.37</v>
      </c>
      <c r="S116" s="1" t="s">
        <v>104</v>
      </c>
    </row>
    <row r="117" customFormat="false" ht="15" hidden="false" customHeight="true" outlineLevel="0" collapsed="false">
      <c r="A117" s="43" t="n">
        <v>45523</v>
      </c>
      <c r="B117" s="1" t="n">
        <v>2024</v>
      </c>
      <c r="C117" s="1" t="s">
        <v>69</v>
      </c>
      <c r="D117" s="1" t="s">
        <v>126</v>
      </c>
      <c r="E117" s="1" t="s">
        <v>120</v>
      </c>
      <c r="F117" s="1" t="s">
        <v>160</v>
      </c>
      <c r="G117" s="1" t="s">
        <v>196</v>
      </c>
      <c r="H117" s="1" t="s">
        <v>45</v>
      </c>
      <c r="I117" s="1" t="s">
        <v>38</v>
      </c>
      <c r="J117" s="1" t="s">
        <v>95</v>
      </c>
      <c r="K117" s="1" t="s">
        <v>118</v>
      </c>
      <c r="L117" s="1" t="n">
        <v>12</v>
      </c>
      <c r="M117" s="37" t="n">
        <v>21526</v>
      </c>
      <c r="N117" s="44" t="n">
        <v>0.08</v>
      </c>
      <c r="O117" s="1" t="n">
        <v>15623.27</v>
      </c>
      <c r="P117" s="37" t="n">
        <v>258312</v>
      </c>
      <c r="Q117" s="37" t="n">
        <v>237647.04</v>
      </c>
      <c r="R117" s="37" t="n">
        <v>50167.8</v>
      </c>
      <c r="S117" s="1" t="s">
        <v>104</v>
      </c>
    </row>
    <row r="118" customFormat="false" ht="15" hidden="false" customHeight="true" outlineLevel="0" collapsed="false">
      <c r="A118" s="43" t="n">
        <v>45554</v>
      </c>
      <c r="B118" s="1" t="n">
        <v>2024</v>
      </c>
      <c r="C118" s="1" t="s">
        <v>72</v>
      </c>
      <c r="D118" s="1" t="s">
        <v>126</v>
      </c>
      <c r="E118" s="1" t="s">
        <v>129</v>
      </c>
      <c r="F118" s="1" t="s">
        <v>188</v>
      </c>
      <c r="G118" s="1" t="s">
        <v>200</v>
      </c>
      <c r="H118" s="1" t="s">
        <v>37</v>
      </c>
      <c r="I118" s="1" t="s">
        <v>38</v>
      </c>
      <c r="J118" s="1" t="s">
        <v>150</v>
      </c>
      <c r="K118" s="1" t="s">
        <v>118</v>
      </c>
      <c r="L118" s="1" t="n">
        <v>35</v>
      </c>
      <c r="M118" s="37" t="n">
        <v>47179</v>
      </c>
      <c r="N118" s="44" t="n">
        <v>0.12</v>
      </c>
      <c r="O118" s="1" t="n">
        <v>25735.81</v>
      </c>
      <c r="P118" s="37" t="n">
        <v>1651265</v>
      </c>
      <c r="Q118" s="37" t="n">
        <v>1453113.2</v>
      </c>
      <c r="R118" s="37" t="n">
        <v>552359.85</v>
      </c>
      <c r="S118" s="1" t="s">
        <v>97</v>
      </c>
    </row>
    <row r="119" customFormat="false" ht="15" hidden="false" customHeight="true" outlineLevel="0" collapsed="false">
      <c r="A119" s="43" t="n">
        <v>45576</v>
      </c>
      <c r="B119" s="1" t="n">
        <v>2024</v>
      </c>
      <c r="C119" s="1" t="s">
        <v>75</v>
      </c>
      <c r="D119" s="1" t="s">
        <v>136</v>
      </c>
      <c r="E119" s="1" t="s">
        <v>105</v>
      </c>
      <c r="F119" s="1" t="s">
        <v>134</v>
      </c>
      <c r="G119" s="1" t="s">
        <v>196</v>
      </c>
      <c r="H119" s="1" t="s">
        <v>46</v>
      </c>
      <c r="I119" s="1" t="s">
        <v>101</v>
      </c>
      <c r="J119" s="1" t="s">
        <v>102</v>
      </c>
      <c r="K119" s="1" t="s">
        <v>110</v>
      </c>
      <c r="L119" s="1" t="n">
        <v>26</v>
      </c>
      <c r="M119" s="37" t="n">
        <v>147077</v>
      </c>
      <c r="N119" s="44"/>
      <c r="O119" s="1" t="n">
        <v>100635.9</v>
      </c>
      <c r="P119" s="37" t="n">
        <v>3824002</v>
      </c>
      <c r="Q119" s="37" t="n">
        <v>3518081.84</v>
      </c>
      <c r="R119" s="37" t="n">
        <v>901548.44</v>
      </c>
      <c r="S119" s="1" t="s">
        <v>104</v>
      </c>
    </row>
    <row r="120" customFormat="false" ht="15" hidden="false" customHeight="true" outlineLevel="0" collapsed="false">
      <c r="A120" s="43" t="n">
        <v>45611</v>
      </c>
      <c r="B120" s="1" t="n">
        <v>2024</v>
      </c>
      <c r="C120" s="1" t="s">
        <v>76</v>
      </c>
      <c r="D120" s="1" t="s">
        <v>136</v>
      </c>
      <c r="E120" s="1" t="s">
        <v>105</v>
      </c>
      <c r="F120" s="1" t="s">
        <v>130</v>
      </c>
      <c r="G120" s="1" t="s">
        <v>161</v>
      </c>
      <c r="H120" s="1" t="s">
        <v>36</v>
      </c>
      <c r="I120" s="1" t="s">
        <v>101</v>
      </c>
      <c r="J120" s="1" t="s">
        <v>117</v>
      </c>
      <c r="K120" s="1" t="s">
        <v>110</v>
      </c>
      <c r="L120" s="1" t="n">
        <v>370</v>
      </c>
      <c r="M120" s="37" t="n">
        <v>73945</v>
      </c>
      <c r="N120" s="44" t="n">
        <v>0.05</v>
      </c>
      <c r="O120" s="1" t="n">
        <v>45320.02</v>
      </c>
      <c r="P120" s="37" t="n">
        <v>27359650</v>
      </c>
      <c r="Q120" s="37" t="n">
        <v>25991667.5</v>
      </c>
      <c r="R120" s="37" t="n">
        <v>9223260.1</v>
      </c>
      <c r="S120" s="1" t="s">
        <v>104</v>
      </c>
    </row>
    <row r="121" customFormat="false" ht="15" hidden="false" customHeight="true" outlineLevel="0" collapsed="false">
      <c r="A121" s="43" t="n">
        <v>45630</v>
      </c>
      <c r="B121" s="1" t="n">
        <v>2024</v>
      </c>
      <c r="C121" s="1" t="s">
        <v>77</v>
      </c>
      <c r="D121" s="1" t="s">
        <v>136</v>
      </c>
      <c r="E121" s="1" t="s">
        <v>137</v>
      </c>
      <c r="F121" s="1" t="s">
        <v>130</v>
      </c>
      <c r="G121" s="1" t="s">
        <v>191</v>
      </c>
      <c r="H121" s="1" t="s">
        <v>46</v>
      </c>
      <c r="I121" s="1" t="s">
        <v>33</v>
      </c>
      <c r="J121" s="1" t="s">
        <v>102</v>
      </c>
      <c r="K121" s="1" t="s">
        <v>96</v>
      </c>
      <c r="L121" s="1" t="n">
        <v>9</v>
      </c>
      <c r="M121" s="37" t="n">
        <v>131269</v>
      </c>
      <c r="N121" s="44"/>
      <c r="O121" s="1" t="n">
        <v>78176.72</v>
      </c>
      <c r="P121" s="37" t="n">
        <v>1181421</v>
      </c>
      <c r="Q121" s="37" t="n">
        <v>1181421</v>
      </c>
      <c r="R121" s="37" t="n">
        <v>477830.52</v>
      </c>
      <c r="S121" s="1" t="s">
        <v>111</v>
      </c>
    </row>
    <row r="122" customFormat="false" ht="15" hidden="false" customHeight="true" outlineLevel="0" collapsed="false">
      <c r="A122" s="43" t="n">
        <v>45316</v>
      </c>
      <c r="B122" s="1" t="n">
        <v>2024</v>
      </c>
      <c r="C122" s="1" t="s">
        <v>50</v>
      </c>
      <c r="D122" s="1" t="s">
        <v>90</v>
      </c>
      <c r="E122" s="1" t="s">
        <v>129</v>
      </c>
      <c r="F122" s="1" t="s">
        <v>106</v>
      </c>
      <c r="G122" s="1" t="s">
        <v>195</v>
      </c>
      <c r="H122" s="1" t="s">
        <v>45</v>
      </c>
      <c r="I122" s="1" t="s">
        <v>94</v>
      </c>
      <c r="J122" s="1" t="s">
        <v>95</v>
      </c>
      <c r="K122" s="1" t="s">
        <v>110</v>
      </c>
      <c r="L122" s="1" t="n">
        <v>24</v>
      </c>
      <c r="M122" s="37" t="n">
        <v>159893</v>
      </c>
      <c r="N122" s="44" t="n">
        <v>0.15</v>
      </c>
      <c r="O122" s="1" t="n">
        <v>104001.7</v>
      </c>
      <c r="P122" s="37" t="n">
        <v>3837432</v>
      </c>
      <c r="Q122" s="37" t="n">
        <v>3261817.2</v>
      </c>
      <c r="R122" s="37" t="n">
        <v>765776.4</v>
      </c>
      <c r="S122" s="1" t="s">
        <v>104</v>
      </c>
    </row>
    <row r="123" customFormat="false" ht="15" hidden="false" customHeight="true" outlineLevel="0" collapsed="false">
      <c r="A123" s="43" t="n">
        <v>45338</v>
      </c>
      <c r="B123" s="1" t="n">
        <v>2024</v>
      </c>
      <c r="C123" s="1" t="s">
        <v>53</v>
      </c>
      <c r="D123" s="1" t="s">
        <v>90</v>
      </c>
      <c r="E123" s="1" t="s">
        <v>91</v>
      </c>
      <c r="F123" s="1" t="s">
        <v>158</v>
      </c>
      <c r="G123" s="1" t="s">
        <v>186</v>
      </c>
      <c r="H123" s="1" t="s">
        <v>44</v>
      </c>
      <c r="I123" s="1" t="s">
        <v>108</v>
      </c>
      <c r="J123" s="1" t="s">
        <v>109</v>
      </c>
      <c r="K123" s="1" t="s">
        <v>118</v>
      </c>
      <c r="L123" s="1" t="n">
        <v>9</v>
      </c>
      <c r="M123" s="37" t="n">
        <v>131746</v>
      </c>
      <c r="N123" s="44" t="n">
        <v>0.12</v>
      </c>
      <c r="O123" s="1" t="n">
        <v>90307.76</v>
      </c>
      <c r="P123" s="37" t="n">
        <v>1185714</v>
      </c>
      <c r="Q123" s="37" t="n">
        <v>1043428.32</v>
      </c>
      <c r="R123" s="37" t="n">
        <v>230658.48</v>
      </c>
      <c r="S123" s="1" t="s">
        <v>119</v>
      </c>
    </row>
    <row r="124" customFormat="false" ht="15" hidden="false" customHeight="true" outlineLevel="0" collapsed="false">
      <c r="A124" s="43" t="n">
        <v>45353</v>
      </c>
      <c r="B124" s="1" t="n">
        <v>2024</v>
      </c>
      <c r="C124" s="1" t="s">
        <v>56</v>
      </c>
      <c r="D124" s="1" t="s">
        <v>90</v>
      </c>
      <c r="E124" s="1" t="s">
        <v>98</v>
      </c>
      <c r="F124" s="1" t="s">
        <v>134</v>
      </c>
      <c r="G124" s="1" t="s">
        <v>135</v>
      </c>
      <c r="H124" s="1" t="s">
        <v>34</v>
      </c>
      <c r="I124" s="1" t="s">
        <v>101</v>
      </c>
      <c r="J124" s="1" t="s">
        <v>132</v>
      </c>
      <c r="K124" s="1" t="s">
        <v>146</v>
      </c>
      <c r="L124" s="1" t="n">
        <v>5</v>
      </c>
      <c r="M124" s="37" t="n">
        <v>135750</v>
      </c>
      <c r="N124" s="44" t="n">
        <v>0.08</v>
      </c>
      <c r="O124" s="1" t="n">
        <v>69638.86</v>
      </c>
      <c r="P124" s="37" t="n">
        <v>678750</v>
      </c>
      <c r="Q124" s="37" t="n">
        <v>624450</v>
      </c>
      <c r="R124" s="37" t="n">
        <v>276255.7</v>
      </c>
      <c r="S124" s="1" t="s">
        <v>104</v>
      </c>
    </row>
    <row r="125" customFormat="false" ht="15" hidden="false" customHeight="true" outlineLevel="0" collapsed="false">
      <c r="A125" s="43" t="n">
        <v>45410</v>
      </c>
      <c r="B125" s="1" t="n">
        <v>2024</v>
      </c>
      <c r="C125" s="1" t="s">
        <v>59</v>
      </c>
      <c r="D125" s="1" t="s">
        <v>112</v>
      </c>
      <c r="E125" s="1" t="s">
        <v>98</v>
      </c>
      <c r="F125" s="1" t="s">
        <v>138</v>
      </c>
      <c r="G125" s="1" t="s">
        <v>135</v>
      </c>
      <c r="H125" s="1" t="s">
        <v>42</v>
      </c>
      <c r="I125" s="1" t="s">
        <v>116</v>
      </c>
      <c r="J125" s="1" t="s">
        <v>128</v>
      </c>
      <c r="K125" s="1" t="s">
        <v>96</v>
      </c>
      <c r="L125" s="1" t="n">
        <v>23</v>
      </c>
      <c r="M125" s="37" t="n">
        <v>152839</v>
      </c>
      <c r="N125" s="44" t="n">
        <v>0.1</v>
      </c>
      <c r="O125" s="1" t="n">
        <v>107713.34</v>
      </c>
      <c r="P125" s="37" t="n">
        <v>3515297</v>
      </c>
      <c r="Q125" s="37" t="n">
        <v>3163767.3</v>
      </c>
      <c r="R125" s="37" t="n">
        <v>686360.48</v>
      </c>
      <c r="S125" s="1" t="s">
        <v>104</v>
      </c>
    </row>
    <row r="126" customFormat="false" ht="15" hidden="false" customHeight="true" outlineLevel="0" collapsed="false">
      <c r="A126" s="43" t="n">
        <v>45426</v>
      </c>
      <c r="B126" s="1" t="n">
        <v>2024</v>
      </c>
      <c r="C126" s="1" t="s">
        <v>62</v>
      </c>
      <c r="D126" s="1" t="s">
        <v>112</v>
      </c>
      <c r="E126" s="1" t="s">
        <v>129</v>
      </c>
      <c r="F126" s="1" t="s">
        <v>138</v>
      </c>
      <c r="G126" s="1" t="s">
        <v>93</v>
      </c>
      <c r="H126" s="1" t="s">
        <v>43</v>
      </c>
      <c r="I126" s="1" t="s">
        <v>33</v>
      </c>
      <c r="J126" s="1" t="s">
        <v>148</v>
      </c>
      <c r="K126" s="1" t="s">
        <v>118</v>
      </c>
      <c r="L126" s="1" t="n">
        <v>23</v>
      </c>
      <c r="M126" s="37" t="n">
        <v>61409</v>
      </c>
      <c r="N126" s="44"/>
      <c r="O126" s="1" t="n">
        <v>28326.5</v>
      </c>
      <c r="P126" s="37" t="n">
        <v>1412407</v>
      </c>
      <c r="Q126" s="37" t="n">
        <v>1341786.65</v>
      </c>
      <c r="R126" s="37" t="n">
        <v>690277.15</v>
      </c>
      <c r="S126" s="1" t="s">
        <v>172</v>
      </c>
    </row>
    <row r="127" customFormat="false" ht="15" hidden="false" customHeight="true" outlineLevel="0" collapsed="false">
      <c r="A127" s="43" t="n">
        <v>45447</v>
      </c>
      <c r="B127" s="1" t="n">
        <v>2024</v>
      </c>
      <c r="C127" s="1" t="s">
        <v>65</v>
      </c>
      <c r="D127" s="1" t="s">
        <v>112</v>
      </c>
      <c r="E127" s="1" t="s">
        <v>129</v>
      </c>
      <c r="F127" s="1" t="s">
        <v>188</v>
      </c>
      <c r="G127" s="1" t="s">
        <v>168</v>
      </c>
      <c r="H127" s="1" t="s">
        <v>34</v>
      </c>
      <c r="I127" s="1" t="s">
        <v>116</v>
      </c>
      <c r="J127" s="1" t="s">
        <v>132</v>
      </c>
      <c r="K127" s="1" t="s">
        <v>96</v>
      </c>
      <c r="L127" s="1" t="n">
        <v>3</v>
      </c>
      <c r="M127" s="37" t="n">
        <v>73430</v>
      </c>
      <c r="N127" s="44" t="n">
        <v>0</v>
      </c>
      <c r="O127" s="1" t="n">
        <v>36645.05</v>
      </c>
      <c r="P127" s="37" t="n">
        <v>220290</v>
      </c>
      <c r="Q127" s="37" t="n">
        <v>220290</v>
      </c>
      <c r="R127" s="37" t="n">
        <v>110354.85</v>
      </c>
      <c r="S127" s="1" t="s">
        <v>119</v>
      </c>
    </row>
    <row r="128" customFormat="false" ht="15" hidden="false" customHeight="true" outlineLevel="0" collapsed="false">
      <c r="A128" s="43" t="n">
        <v>45481</v>
      </c>
      <c r="B128" s="1" t="n">
        <v>2024</v>
      </c>
      <c r="C128" s="1" t="s">
        <v>66</v>
      </c>
      <c r="D128" s="1" t="s">
        <v>126</v>
      </c>
      <c r="E128" s="1" t="s">
        <v>113</v>
      </c>
      <c r="F128" s="1" t="s">
        <v>170</v>
      </c>
      <c r="G128" s="1" t="s">
        <v>171</v>
      </c>
      <c r="H128" s="1" t="s">
        <v>39</v>
      </c>
      <c r="I128" s="1" t="s">
        <v>155</v>
      </c>
      <c r="J128" s="1" t="s">
        <v>150</v>
      </c>
      <c r="K128" s="1" t="s">
        <v>96</v>
      </c>
      <c r="L128" s="1" t="n">
        <v>27</v>
      </c>
      <c r="M128" s="37" t="n">
        <v>27979</v>
      </c>
      <c r="N128" s="44" t="n">
        <v>0.1</v>
      </c>
      <c r="O128" s="1" t="n">
        <v>18720.68</v>
      </c>
      <c r="P128" s="37" t="n">
        <v>755433</v>
      </c>
      <c r="Q128" s="37" t="n">
        <v>679889.7</v>
      </c>
      <c r="R128" s="37" t="n">
        <v>174431.34</v>
      </c>
      <c r="S128" s="1" t="s">
        <v>125</v>
      </c>
    </row>
    <row r="129" customFormat="false" ht="15" hidden="false" customHeight="true" outlineLevel="0" collapsed="false">
      <c r="A129" s="43" t="n">
        <v>45515</v>
      </c>
      <c r="B129" s="1" t="n">
        <v>2024</v>
      </c>
      <c r="C129" s="1" t="s">
        <v>69</v>
      </c>
      <c r="D129" s="1" t="s">
        <v>126</v>
      </c>
      <c r="E129" s="1" t="s">
        <v>137</v>
      </c>
      <c r="F129" s="1" t="s">
        <v>121</v>
      </c>
      <c r="G129" s="1" t="s">
        <v>127</v>
      </c>
      <c r="H129" s="1" t="s">
        <v>43</v>
      </c>
      <c r="I129" s="1" t="s">
        <v>101</v>
      </c>
      <c r="J129" s="1" t="s">
        <v>148</v>
      </c>
      <c r="K129" s="1" t="s">
        <v>133</v>
      </c>
      <c r="L129" s="1" t="n">
        <v>25</v>
      </c>
      <c r="M129" s="37" t="n">
        <v>153014</v>
      </c>
      <c r="N129" s="44" t="n">
        <v>0.15</v>
      </c>
      <c r="O129" s="1" t="n">
        <v>84962.21</v>
      </c>
      <c r="P129" s="37" t="n">
        <v>3825350</v>
      </c>
      <c r="Q129" s="37" t="n">
        <v>3251547.5</v>
      </c>
      <c r="R129" s="37" t="n">
        <v>1127492.25</v>
      </c>
      <c r="S129" s="1" t="s">
        <v>172</v>
      </c>
    </row>
    <row r="130" customFormat="false" ht="15" hidden="false" customHeight="true" outlineLevel="0" collapsed="false">
      <c r="A130" s="43" t="n">
        <v>45552</v>
      </c>
      <c r="B130" s="1" t="n">
        <v>2024</v>
      </c>
      <c r="C130" s="1" t="s">
        <v>72</v>
      </c>
      <c r="D130" s="1" t="s">
        <v>126</v>
      </c>
      <c r="E130" s="1" t="s">
        <v>120</v>
      </c>
      <c r="F130" s="1" t="s">
        <v>138</v>
      </c>
      <c r="G130" s="1" t="s">
        <v>156</v>
      </c>
      <c r="H130" s="1" t="s">
        <v>43</v>
      </c>
      <c r="I130" s="1" t="s">
        <v>33</v>
      </c>
      <c r="J130" s="1" t="s">
        <v>148</v>
      </c>
      <c r="K130" s="1" t="s">
        <v>96</v>
      </c>
      <c r="L130" s="1" t="n">
        <v>22</v>
      </c>
      <c r="M130" s="37" t="n">
        <v>129908</v>
      </c>
      <c r="N130" s="44" t="n">
        <v>0.05</v>
      </c>
      <c r="O130" s="1" t="n">
        <v>82812.77</v>
      </c>
      <c r="P130" s="37" t="n">
        <v>2857976</v>
      </c>
      <c r="Q130" s="37" t="n">
        <v>2715077.2</v>
      </c>
      <c r="R130" s="37" t="n">
        <v>893196.26</v>
      </c>
      <c r="S130" s="1" t="s">
        <v>104</v>
      </c>
    </row>
    <row r="131" customFormat="false" ht="15" hidden="false" customHeight="true" outlineLevel="0" collapsed="false">
      <c r="A131" s="43" t="n">
        <v>45591</v>
      </c>
      <c r="B131" s="1" t="n">
        <v>2024</v>
      </c>
      <c r="C131" s="1" t="s">
        <v>75</v>
      </c>
      <c r="D131" s="1" t="s">
        <v>136</v>
      </c>
      <c r="E131" s="1" t="s">
        <v>105</v>
      </c>
      <c r="F131" s="1" t="s">
        <v>160</v>
      </c>
      <c r="G131" s="1" t="s">
        <v>179</v>
      </c>
      <c r="H131" s="1" t="s">
        <v>36</v>
      </c>
      <c r="I131" s="1" t="s">
        <v>116</v>
      </c>
      <c r="J131" s="1" t="s">
        <v>117</v>
      </c>
      <c r="K131" s="1" t="s">
        <v>96</v>
      </c>
      <c r="L131" s="1" t="n">
        <v>22</v>
      </c>
      <c r="M131" s="37" t="n">
        <v>16019</v>
      </c>
      <c r="N131" s="44" t="n">
        <v>0.15</v>
      </c>
      <c r="O131" s="1" t="n">
        <v>12602.58</v>
      </c>
      <c r="P131" s="37" t="n">
        <v>352418</v>
      </c>
      <c r="Q131" s="37" t="n">
        <v>299555.3</v>
      </c>
      <c r="R131" s="37" t="n">
        <v>22298.54</v>
      </c>
      <c r="S131" s="1" t="s">
        <v>97</v>
      </c>
    </row>
    <row r="132" customFormat="false" ht="15" hidden="false" customHeight="true" outlineLevel="0" collapsed="false">
      <c r="A132" s="43" t="n">
        <v>45609</v>
      </c>
      <c r="B132" s="1" t="n">
        <v>2024</v>
      </c>
      <c r="C132" s="1" t="s">
        <v>76</v>
      </c>
      <c r="D132" s="1" t="s">
        <v>136</v>
      </c>
      <c r="E132" s="1" t="s">
        <v>120</v>
      </c>
      <c r="F132" s="1" t="s">
        <v>158</v>
      </c>
      <c r="G132" s="1" t="s">
        <v>200</v>
      </c>
      <c r="H132" s="1" t="s">
        <v>36</v>
      </c>
      <c r="I132" s="1" t="s">
        <v>101</v>
      </c>
      <c r="J132" s="1" t="s">
        <v>117</v>
      </c>
      <c r="K132" s="1" t="s">
        <v>118</v>
      </c>
      <c r="L132" s="1" t="n">
        <v>30</v>
      </c>
      <c r="M132" s="37" t="n">
        <v>106177</v>
      </c>
      <c r="N132" s="44"/>
      <c r="O132" s="1" t="n">
        <v>66836.91</v>
      </c>
      <c r="P132" s="37" t="n">
        <v>3185310</v>
      </c>
      <c r="Q132" s="37" t="n">
        <v>3185310</v>
      </c>
      <c r="R132" s="37" t="n">
        <v>1180202.7</v>
      </c>
      <c r="S132" s="1" t="s">
        <v>125</v>
      </c>
    </row>
    <row r="133" customFormat="false" ht="15" hidden="false" customHeight="true" outlineLevel="0" collapsed="false">
      <c r="A133" s="43" t="n">
        <v>45638</v>
      </c>
      <c r="B133" s="1" t="n">
        <v>2024</v>
      </c>
      <c r="C133" s="1" t="s">
        <v>77</v>
      </c>
      <c r="D133" s="1" t="s">
        <v>136</v>
      </c>
      <c r="E133" s="1" t="s">
        <v>113</v>
      </c>
      <c r="F133" s="1" t="s">
        <v>138</v>
      </c>
      <c r="G133" s="1" t="s">
        <v>191</v>
      </c>
      <c r="H133" s="1" t="s">
        <v>36</v>
      </c>
      <c r="I133" s="1" t="s">
        <v>101</v>
      </c>
      <c r="J133" s="1" t="s">
        <v>117</v>
      </c>
      <c r="K133" s="1" t="s">
        <v>123</v>
      </c>
      <c r="L133" s="1" t="n">
        <v>110</v>
      </c>
      <c r="M133" s="37" t="n">
        <v>89382</v>
      </c>
      <c r="N133" s="44"/>
      <c r="O133" s="1" t="n">
        <v>47417.73</v>
      </c>
      <c r="P133" s="37" t="n">
        <v>9832020</v>
      </c>
      <c r="Q133" s="37" t="n">
        <v>9832020</v>
      </c>
      <c r="R133" s="37" t="n">
        <v>4616069.7</v>
      </c>
      <c r="S133" s="1" t="s">
        <v>111</v>
      </c>
    </row>
    <row r="134" customFormat="false" ht="15" hidden="false" customHeight="true" outlineLevel="0" collapsed="false">
      <c r="A134" s="43" t="n">
        <v>45315</v>
      </c>
      <c r="B134" s="1" t="n">
        <v>2024</v>
      </c>
      <c r="C134" s="1" t="s">
        <v>50</v>
      </c>
      <c r="D134" s="1" t="s">
        <v>90</v>
      </c>
      <c r="E134" s="1" t="s">
        <v>137</v>
      </c>
      <c r="F134" s="1" t="s">
        <v>92</v>
      </c>
      <c r="G134" s="1" t="s">
        <v>107</v>
      </c>
      <c r="H134" s="1" t="s">
        <v>42</v>
      </c>
      <c r="I134" s="1" t="s">
        <v>116</v>
      </c>
      <c r="J134" s="1" t="s">
        <v>128</v>
      </c>
      <c r="K134" s="1" t="s">
        <v>96</v>
      </c>
      <c r="L134" s="1" t="n">
        <v>23</v>
      </c>
      <c r="M134" s="37" t="n">
        <v>155273</v>
      </c>
      <c r="N134" s="44" t="n">
        <v>0</v>
      </c>
      <c r="O134" s="1" t="n">
        <v>98346.9</v>
      </c>
      <c r="P134" s="37" t="n">
        <v>3571279</v>
      </c>
      <c r="Q134" s="37" t="n">
        <v>3571279</v>
      </c>
      <c r="R134" s="37" t="n">
        <v>1309300.3</v>
      </c>
      <c r="S134" s="1" t="s">
        <v>97</v>
      </c>
    </row>
    <row r="135" customFormat="false" ht="15" hidden="false" customHeight="true" outlineLevel="0" collapsed="false">
      <c r="A135" s="43" t="n">
        <v>45325</v>
      </c>
      <c r="B135" s="1" t="n">
        <v>2024</v>
      </c>
      <c r="C135" s="1" t="s">
        <v>53</v>
      </c>
      <c r="D135" s="1" t="s">
        <v>90</v>
      </c>
      <c r="E135" s="1" t="s">
        <v>137</v>
      </c>
      <c r="F135" s="1" t="s">
        <v>151</v>
      </c>
      <c r="H135" s="1" t="s">
        <v>36</v>
      </c>
      <c r="I135" s="1" t="s">
        <v>101</v>
      </c>
      <c r="J135" s="1" t="s">
        <v>117</v>
      </c>
      <c r="K135" s="1" t="s">
        <v>110</v>
      </c>
      <c r="L135" s="1" t="n">
        <v>30</v>
      </c>
      <c r="M135" s="37" t="n">
        <v>173961</v>
      </c>
      <c r="N135" s="44" t="n">
        <v>0.12</v>
      </c>
      <c r="O135" s="1" t="n">
        <v>118423.87</v>
      </c>
      <c r="P135" s="37" t="n">
        <v>5218830</v>
      </c>
      <c r="Q135" s="37"/>
      <c r="R135" s="37" t="n">
        <v>1039854.3</v>
      </c>
      <c r="S135" s="1" t="s">
        <v>97</v>
      </c>
    </row>
    <row r="136" customFormat="false" ht="15" hidden="false" customHeight="true" outlineLevel="0" collapsed="false">
      <c r="A136" s="43" t="n">
        <v>45361</v>
      </c>
      <c r="B136" s="1" t="n">
        <v>2024</v>
      </c>
      <c r="C136" s="1" t="s">
        <v>56</v>
      </c>
      <c r="D136" s="1" t="s">
        <v>90</v>
      </c>
      <c r="E136" s="1" t="s">
        <v>91</v>
      </c>
      <c r="F136" s="1" t="s">
        <v>158</v>
      </c>
      <c r="G136" s="1" t="s">
        <v>196</v>
      </c>
      <c r="H136" s="1" t="s">
        <v>43</v>
      </c>
      <c r="I136" s="1" t="s">
        <v>33</v>
      </c>
      <c r="J136" s="1" t="s">
        <v>148</v>
      </c>
      <c r="K136" s="1" t="s">
        <v>146</v>
      </c>
      <c r="L136" s="1" t="n">
        <v>7</v>
      </c>
      <c r="M136" s="37" t="n">
        <v>75168</v>
      </c>
      <c r="N136" s="44" t="n">
        <v>0.2</v>
      </c>
      <c r="O136" s="1" t="n">
        <v>55272.91</v>
      </c>
      <c r="P136" s="37" t="n">
        <v>526176</v>
      </c>
      <c r="Q136" s="37" t="n">
        <v>420940.8</v>
      </c>
      <c r="R136" s="37" t="n">
        <v>34030.43</v>
      </c>
      <c r="S136" s="1" t="s">
        <v>119</v>
      </c>
    </row>
    <row r="137" customFormat="false" ht="15" hidden="false" customHeight="true" outlineLevel="0" collapsed="false">
      <c r="A137" s="43" t="n">
        <v>45390</v>
      </c>
      <c r="B137" s="1" t="n">
        <v>2024</v>
      </c>
      <c r="C137" s="1" t="s">
        <v>59</v>
      </c>
      <c r="D137" s="1" t="s">
        <v>112</v>
      </c>
      <c r="E137" s="1" t="s">
        <v>113</v>
      </c>
      <c r="F137" s="1" t="s">
        <v>143</v>
      </c>
      <c r="G137" s="1" t="s">
        <v>194</v>
      </c>
      <c r="H137" s="1" t="s">
        <v>46</v>
      </c>
      <c r="I137" s="1" t="s">
        <v>33</v>
      </c>
      <c r="J137" s="1" t="s">
        <v>102</v>
      </c>
      <c r="K137" s="1" t="s">
        <v>146</v>
      </c>
      <c r="L137" s="1" t="n">
        <v>26</v>
      </c>
      <c r="M137" s="37" t="n">
        <v>156887</v>
      </c>
      <c r="N137" s="44" t="n">
        <v>0</v>
      </c>
      <c r="O137" s="1" t="n">
        <v>109192.69</v>
      </c>
      <c r="P137" s="37" t="n">
        <v>4079062</v>
      </c>
      <c r="Q137" s="37" t="n">
        <v>4079062</v>
      </c>
      <c r="R137" s="37" t="n">
        <v>1240052.06</v>
      </c>
      <c r="S137" s="1" t="s">
        <v>97</v>
      </c>
    </row>
    <row r="138" customFormat="false" ht="15" hidden="false" customHeight="true" outlineLevel="0" collapsed="false">
      <c r="A138" s="43" t="n">
        <v>45414</v>
      </c>
      <c r="B138" s="1" t="n">
        <v>2024</v>
      </c>
      <c r="C138" s="1" t="s">
        <v>62</v>
      </c>
      <c r="D138" s="1" t="s">
        <v>112</v>
      </c>
      <c r="E138" s="1" t="s">
        <v>120</v>
      </c>
      <c r="F138" s="1" t="s">
        <v>170</v>
      </c>
      <c r="H138" s="1" t="s">
        <v>43</v>
      </c>
      <c r="I138" s="1" t="s">
        <v>101</v>
      </c>
      <c r="J138" s="1" t="s">
        <v>148</v>
      </c>
      <c r="K138" s="1" t="s">
        <v>133</v>
      </c>
      <c r="L138" s="1" t="n">
        <v>3</v>
      </c>
      <c r="M138" s="37" t="n">
        <v>85498</v>
      </c>
      <c r="N138" s="44" t="n">
        <v>0</v>
      </c>
      <c r="O138" s="1" t="n">
        <v>43841.16</v>
      </c>
      <c r="P138" s="37" t="n">
        <v>256494</v>
      </c>
      <c r="Q138" s="37" t="n">
        <v>256494</v>
      </c>
      <c r="R138" s="37" t="n">
        <v>124970.52</v>
      </c>
      <c r="S138" s="1" t="s">
        <v>119</v>
      </c>
    </row>
    <row r="139" customFormat="false" ht="15" hidden="false" customHeight="true" outlineLevel="0" collapsed="false">
      <c r="A139" s="43" t="n">
        <v>45453</v>
      </c>
      <c r="B139" s="1" t="n">
        <v>2024</v>
      </c>
      <c r="C139" s="1" t="s">
        <v>65</v>
      </c>
      <c r="D139" s="1" t="s">
        <v>112</v>
      </c>
      <c r="E139" s="1" t="s">
        <v>120</v>
      </c>
      <c r="F139" s="1" t="s">
        <v>160</v>
      </c>
      <c r="G139" s="1" t="s">
        <v>180</v>
      </c>
      <c r="H139" s="1" t="s">
        <v>34</v>
      </c>
      <c r="I139" s="1" t="s">
        <v>116</v>
      </c>
      <c r="J139" s="1" t="s">
        <v>132</v>
      </c>
      <c r="K139" s="1" t="s">
        <v>123</v>
      </c>
      <c r="L139" s="1" t="n">
        <v>35</v>
      </c>
      <c r="M139" s="37" t="n">
        <v>48687</v>
      </c>
      <c r="N139" s="44" t="n">
        <v>0.05</v>
      </c>
      <c r="O139" s="1" t="n">
        <v>30442.89</v>
      </c>
      <c r="P139" s="37" t="n">
        <v>1704045</v>
      </c>
      <c r="Q139" s="37" t="n">
        <v>1618842.75</v>
      </c>
      <c r="R139" s="37" t="n">
        <v>553341.6</v>
      </c>
      <c r="S139" s="1" t="s">
        <v>119</v>
      </c>
    </row>
    <row r="140" customFormat="false" ht="15" hidden="false" customHeight="true" outlineLevel="0" collapsed="false">
      <c r="A140" s="43" t="n">
        <v>45486</v>
      </c>
      <c r="B140" s="1" t="n">
        <v>2024</v>
      </c>
      <c r="C140" s="1" t="s">
        <v>66</v>
      </c>
      <c r="D140" s="1" t="s">
        <v>126</v>
      </c>
      <c r="E140" s="1" t="s">
        <v>105</v>
      </c>
      <c r="F140" s="1" t="s">
        <v>134</v>
      </c>
      <c r="G140" s="1" t="s">
        <v>122</v>
      </c>
      <c r="H140" s="1" t="s">
        <v>44</v>
      </c>
      <c r="I140" s="1" t="s">
        <v>41</v>
      </c>
      <c r="J140" s="1" t="s">
        <v>109</v>
      </c>
      <c r="K140" s="1" t="s">
        <v>103</v>
      </c>
      <c r="L140" s="1" t="n">
        <v>29</v>
      </c>
      <c r="M140" s="37" t="n">
        <v>105273</v>
      </c>
      <c r="N140" s="44" t="n">
        <v>0.08</v>
      </c>
      <c r="O140" s="1" t="n">
        <v>63284.53</v>
      </c>
      <c r="P140" s="37" t="n">
        <v>3052917</v>
      </c>
      <c r="Q140" s="37" t="n">
        <v>2808683.64</v>
      </c>
      <c r="R140" s="37" t="n">
        <v>973432.27</v>
      </c>
      <c r="S140" s="1" t="s">
        <v>172</v>
      </c>
    </row>
    <row r="141" customFormat="false" ht="15" hidden="false" customHeight="true" outlineLevel="0" collapsed="false">
      <c r="A141" s="43" t="n">
        <v>45507</v>
      </c>
      <c r="B141" s="1" t="n">
        <v>2024</v>
      </c>
      <c r="C141" s="1" t="s">
        <v>69</v>
      </c>
      <c r="D141" s="1" t="s">
        <v>126</v>
      </c>
      <c r="E141" s="1" t="s">
        <v>91</v>
      </c>
      <c r="F141" s="1" t="s">
        <v>134</v>
      </c>
      <c r="G141" s="1" t="s">
        <v>185</v>
      </c>
      <c r="H141" s="1" t="s">
        <v>46</v>
      </c>
      <c r="I141" s="1" t="s">
        <v>101</v>
      </c>
      <c r="J141" s="1" t="s">
        <v>102</v>
      </c>
      <c r="K141" s="1" t="s">
        <v>123</v>
      </c>
      <c r="L141" s="1" t="n">
        <v>10</v>
      </c>
      <c r="M141" s="37" t="n">
        <v>95015</v>
      </c>
      <c r="N141" s="44" t="n">
        <v>0.05</v>
      </c>
      <c r="O141" s="1" t="n">
        <v>42929.52</v>
      </c>
      <c r="P141" s="37" t="n">
        <v>950150</v>
      </c>
      <c r="Q141" s="37" t="n">
        <v>902642.5</v>
      </c>
      <c r="R141" s="37" t="n">
        <v>473347.3</v>
      </c>
      <c r="S141" s="1" t="s">
        <v>119</v>
      </c>
    </row>
    <row r="142" customFormat="false" ht="15" hidden="false" customHeight="true" outlineLevel="0" collapsed="false">
      <c r="A142" s="43" t="n">
        <v>45553</v>
      </c>
      <c r="B142" s="1" t="n">
        <v>2024</v>
      </c>
      <c r="C142" s="1" t="s">
        <v>72</v>
      </c>
      <c r="D142" s="1" t="s">
        <v>126</v>
      </c>
      <c r="E142" s="1" t="s">
        <v>129</v>
      </c>
      <c r="F142" s="1" t="s">
        <v>158</v>
      </c>
      <c r="G142" s="1" t="s">
        <v>187</v>
      </c>
      <c r="H142" s="1" t="s">
        <v>42</v>
      </c>
      <c r="I142" s="1" t="s">
        <v>33</v>
      </c>
      <c r="J142" s="1" t="s">
        <v>128</v>
      </c>
      <c r="K142" s="1" t="s">
        <v>146</v>
      </c>
      <c r="L142" s="1" t="n">
        <v>6</v>
      </c>
      <c r="M142" s="37" t="n">
        <v>36396</v>
      </c>
      <c r="N142" s="44"/>
      <c r="O142" s="1" t="n">
        <v>27380.76</v>
      </c>
      <c r="P142" s="37" t="n">
        <v>218376</v>
      </c>
      <c r="Q142" s="37" t="n">
        <v>218376</v>
      </c>
      <c r="R142" s="37" t="n">
        <v>54091.44</v>
      </c>
      <c r="S142" s="1" t="s">
        <v>97</v>
      </c>
    </row>
    <row r="143" customFormat="false" ht="15" hidden="false" customHeight="true" outlineLevel="0" collapsed="false">
      <c r="A143" s="43" t="n">
        <v>45582</v>
      </c>
      <c r="B143" s="1" t="n">
        <v>2024</v>
      </c>
      <c r="C143" s="1" t="s">
        <v>75</v>
      </c>
      <c r="D143" s="1" t="s">
        <v>136</v>
      </c>
      <c r="E143" s="1" t="s">
        <v>120</v>
      </c>
      <c r="F143" s="1" t="s">
        <v>92</v>
      </c>
      <c r="G143" s="1" t="s">
        <v>197</v>
      </c>
      <c r="H143" s="1" t="s">
        <v>44</v>
      </c>
      <c r="I143" s="1" t="s">
        <v>108</v>
      </c>
      <c r="J143" s="1" t="s">
        <v>109</v>
      </c>
      <c r="K143" s="1" t="s">
        <v>96</v>
      </c>
      <c r="L143" s="1" t="n">
        <v>18</v>
      </c>
      <c r="M143" s="37" t="n">
        <v>141269</v>
      </c>
      <c r="N143" s="44" t="n">
        <v>0.1</v>
      </c>
      <c r="O143" s="1" t="n">
        <v>85063.25</v>
      </c>
      <c r="P143" s="37" t="n">
        <v>2542842</v>
      </c>
      <c r="Q143" s="37" t="n">
        <v>2288557.8</v>
      </c>
      <c r="R143" s="37" t="n">
        <v>757419.3</v>
      </c>
      <c r="S143" s="1" t="s">
        <v>125</v>
      </c>
    </row>
    <row r="144" customFormat="false" ht="15" hidden="false" customHeight="true" outlineLevel="0" collapsed="false">
      <c r="A144" s="43" t="n">
        <v>45612</v>
      </c>
      <c r="B144" s="1" t="n">
        <v>2024</v>
      </c>
      <c r="C144" s="1" t="s">
        <v>76</v>
      </c>
      <c r="D144" s="1" t="s">
        <v>136</v>
      </c>
      <c r="E144" s="1" t="s">
        <v>129</v>
      </c>
      <c r="F144" s="1" t="s">
        <v>160</v>
      </c>
      <c r="G144" s="1" t="s">
        <v>107</v>
      </c>
      <c r="H144" s="1" t="s">
        <v>45</v>
      </c>
      <c r="I144" s="1" t="s">
        <v>94</v>
      </c>
      <c r="J144" s="1" t="s">
        <v>95</v>
      </c>
      <c r="K144" s="1" t="s">
        <v>146</v>
      </c>
      <c r="L144" s="1" t="n">
        <v>9</v>
      </c>
      <c r="M144" s="37" t="n">
        <v>115728</v>
      </c>
      <c r="N144" s="44" t="n">
        <v>0.08</v>
      </c>
      <c r="O144" s="1" t="n">
        <v>84646.56</v>
      </c>
      <c r="P144" s="37" t="n">
        <v>1041552</v>
      </c>
      <c r="Q144" s="37" t="n">
        <v>958227.84</v>
      </c>
      <c r="R144" s="37" t="n">
        <v>196408.8</v>
      </c>
      <c r="S144" s="1" t="s">
        <v>119</v>
      </c>
    </row>
    <row r="145" customFormat="false" ht="15" hidden="false" customHeight="true" outlineLevel="0" collapsed="false">
      <c r="A145" s="43" t="n">
        <v>45636</v>
      </c>
      <c r="B145" s="1" t="n">
        <v>2024</v>
      </c>
      <c r="C145" s="1" t="s">
        <v>77</v>
      </c>
      <c r="D145" s="1" t="s">
        <v>136</v>
      </c>
      <c r="E145" s="1" t="s">
        <v>113</v>
      </c>
      <c r="F145" s="1" t="s">
        <v>160</v>
      </c>
      <c r="G145" s="1" t="s">
        <v>179</v>
      </c>
      <c r="H145" s="1" t="s">
        <v>35</v>
      </c>
      <c r="I145" s="1" t="s">
        <v>116</v>
      </c>
      <c r="J145" s="1" t="s">
        <v>132</v>
      </c>
      <c r="K145" s="1" t="s">
        <v>133</v>
      </c>
      <c r="L145" s="1" t="n">
        <v>12</v>
      </c>
      <c r="M145" s="37" t="n">
        <v>95660</v>
      </c>
      <c r="N145" s="44" t="n">
        <v>0.12</v>
      </c>
      <c r="O145" s="1" t="n">
        <v>75448.68</v>
      </c>
      <c r="P145" s="37" t="n">
        <v>1147920</v>
      </c>
      <c r="Q145" s="37" t="n">
        <v>1010169.6</v>
      </c>
      <c r="R145" s="37" t="n">
        <v>104785.44</v>
      </c>
      <c r="S145" s="1" t="s">
        <v>104</v>
      </c>
    </row>
    <row r="146" customFormat="false" ht="15" hidden="false" customHeight="true" outlineLevel="0" collapsed="false">
      <c r="A146" s="43" t="n">
        <v>45310</v>
      </c>
      <c r="B146" s="1" t="n">
        <v>2024</v>
      </c>
      <c r="C146" s="1" t="s">
        <v>50</v>
      </c>
      <c r="D146" s="1" t="s">
        <v>90</v>
      </c>
      <c r="E146" s="1" t="s">
        <v>129</v>
      </c>
      <c r="F146" s="1" t="s">
        <v>170</v>
      </c>
      <c r="G146" s="1" t="s">
        <v>204</v>
      </c>
      <c r="H146" s="1" t="s">
        <v>36</v>
      </c>
      <c r="I146" s="1" t="s">
        <v>116</v>
      </c>
      <c r="J146" s="1" t="s">
        <v>117</v>
      </c>
      <c r="K146" s="1" t="s">
        <v>123</v>
      </c>
      <c r="L146" s="1" t="n">
        <v>30</v>
      </c>
      <c r="M146" s="37" t="n">
        <v>66958</v>
      </c>
      <c r="N146" s="44" t="n">
        <v>0.2</v>
      </c>
      <c r="O146" s="1" t="n">
        <v>49612.44</v>
      </c>
      <c r="P146" s="37" t="n">
        <v>2008740</v>
      </c>
      <c r="Q146" s="37" t="n">
        <v>1606992</v>
      </c>
      <c r="R146" s="37" t="n">
        <v>118618.8</v>
      </c>
      <c r="S146" s="1" t="s">
        <v>97</v>
      </c>
    </row>
    <row r="147" customFormat="false" ht="15" hidden="false" customHeight="true" outlineLevel="0" collapsed="false">
      <c r="A147" s="43" t="n">
        <v>45330</v>
      </c>
      <c r="B147" s="1" t="n">
        <v>2024</v>
      </c>
      <c r="C147" s="1" t="s">
        <v>53</v>
      </c>
      <c r="D147" s="1" t="s">
        <v>90</v>
      </c>
      <c r="E147" s="1" t="s">
        <v>113</v>
      </c>
      <c r="F147" s="1" t="s">
        <v>143</v>
      </c>
      <c r="G147" s="1" t="s">
        <v>167</v>
      </c>
      <c r="H147" s="1" t="s">
        <v>37</v>
      </c>
      <c r="I147" s="1" t="s">
        <v>94</v>
      </c>
      <c r="J147" s="1" t="s">
        <v>150</v>
      </c>
      <c r="K147" s="1" t="s">
        <v>103</v>
      </c>
      <c r="L147" s="1" t="n">
        <v>25</v>
      </c>
      <c r="M147" s="37" t="n">
        <v>168744</v>
      </c>
      <c r="N147" s="44" t="n">
        <v>0.08</v>
      </c>
      <c r="O147" s="1" t="n">
        <v>107494.75</v>
      </c>
      <c r="P147" s="37" t="n">
        <v>4218600</v>
      </c>
      <c r="Q147" s="37" t="n">
        <v>3881112</v>
      </c>
      <c r="R147" s="37" t="n">
        <v>1193743.25</v>
      </c>
      <c r="S147" s="1" t="s">
        <v>172</v>
      </c>
    </row>
    <row r="148" customFormat="false" ht="15" hidden="false" customHeight="true" outlineLevel="0" collapsed="false">
      <c r="A148" s="43" t="n">
        <v>45372</v>
      </c>
      <c r="B148" s="1" t="n">
        <v>2024</v>
      </c>
      <c r="C148" s="1" t="s">
        <v>56</v>
      </c>
      <c r="D148" s="1" t="s">
        <v>90</v>
      </c>
      <c r="E148" s="1" t="s">
        <v>91</v>
      </c>
      <c r="F148" s="1" t="s">
        <v>114</v>
      </c>
      <c r="G148" s="1" t="s">
        <v>157</v>
      </c>
      <c r="H148" s="1" t="s">
        <v>44</v>
      </c>
      <c r="I148" s="1" t="s">
        <v>108</v>
      </c>
      <c r="J148" s="1" t="s">
        <v>109</v>
      </c>
      <c r="K148" s="1" t="s">
        <v>96</v>
      </c>
      <c r="L148" s="1" t="n">
        <v>440</v>
      </c>
      <c r="M148" s="37" t="n">
        <v>98926</v>
      </c>
      <c r="N148" s="44" t="n">
        <v>0.08</v>
      </c>
      <c r="O148" s="1" t="n">
        <v>48184.93</v>
      </c>
      <c r="P148" s="37" t="n">
        <v>43527440</v>
      </c>
      <c r="Q148" s="37" t="n">
        <v>40045244.8</v>
      </c>
      <c r="R148" s="37" t="n">
        <v>18843875.6</v>
      </c>
      <c r="S148" s="1" t="s">
        <v>97</v>
      </c>
    </row>
    <row r="149" customFormat="false" ht="15" hidden="false" customHeight="true" outlineLevel="0" collapsed="false">
      <c r="A149" s="43" t="n">
        <v>45397</v>
      </c>
      <c r="B149" s="1" t="n">
        <v>2024</v>
      </c>
      <c r="C149" s="1" t="s">
        <v>59</v>
      </c>
      <c r="D149" s="1" t="s">
        <v>112</v>
      </c>
      <c r="E149" s="1" t="s">
        <v>113</v>
      </c>
      <c r="F149" s="1" t="s">
        <v>121</v>
      </c>
      <c r="G149" s="1" t="s">
        <v>205</v>
      </c>
      <c r="H149" s="1" t="s">
        <v>36</v>
      </c>
      <c r="I149" s="1" t="s">
        <v>101</v>
      </c>
      <c r="J149" s="1" t="s">
        <v>117</v>
      </c>
      <c r="K149" s="1" t="s">
        <v>96</v>
      </c>
      <c r="L149" s="1" t="n">
        <v>23</v>
      </c>
      <c r="M149" s="37" t="n">
        <v>138555</v>
      </c>
      <c r="N149" s="44" t="n">
        <v>0.08</v>
      </c>
      <c r="O149" s="1" t="n">
        <v>106991.01</v>
      </c>
      <c r="P149" s="37" t="n">
        <v>3186765</v>
      </c>
      <c r="Q149" s="37" t="n">
        <v>2931823.8</v>
      </c>
      <c r="R149" s="37" t="n">
        <v>471030.57</v>
      </c>
      <c r="S149" s="1" t="s">
        <v>97</v>
      </c>
    </row>
    <row r="150" customFormat="false" ht="15" hidden="false" customHeight="true" outlineLevel="0" collapsed="false">
      <c r="A150" s="43" t="n">
        <v>45429</v>
      </c>
      <c r="B150" s="1" t="n">
        <v>2024</v>
      </c>
      <c r="C150" s="1" t="s">
        <v>62</v>
      </c>
      <c r="D150" s="1" t="s">
        <v>112</v>
      </c>
      <c r="E150" s="1" t="s">
        <v>98</v>
      </c>
      <c r="F150" s="1" t="s">
        <v>130</v>
      </c>
      <c r="G150" s="1" t="s">
        <v>115</v>
      </c>
      <c r="H150" s="1" t="s">
        <v>36</v>
      </c>
      <c r="I150" s="1" t="s">
        <v>33</v>
      </c>
      <c r="J150" s="1" t="s">
        <v>117</v>
      </c>
      <c r="K150" s="1" t="s">
        <v>118</v>
      </c>
      <c r="L150" s="1" t="n">
        <v>29</v>
      </c>
      <c r="M150" s="37" t="n">
        <v>90712</v>
      </c>
      <c r="N150" s="44" t="n">
        <v>0.05</v>
      </c>
      <c r="O150" s="1" t="n">
        <v>41537.46</v>
      </c>
      <c r="P150" s="37" t="n">
        <v>2630648</v>
      </c>
      <c r="Q150" s="37" t="n">
        <v>2499115.6</v>
      </c>
      <c r="R150" s="37" t="n">
        <v>1294529.26</v>
      </c>
      <c r="S150" s="1" t="s">
        <v>119</v>
      </c>
    </row>
    <row r="151" customFormat="false" ht="15" hidden="false" customHeight="true" outlineLevel="0" collapsed="false">
      <c r="A151" s="43" t="n">
        <v>45449</v>
      </c>
      <c r="B151" s="1" t="n">
        <v>2024</v>
      </c>
      <c r="C151" s="1" t="s">
        <v>65</v>
      </c>
      <c r="D151" s="1" t="s">
        <v>112</v>
      </c>
      <c r="E151" s="1" t="s">
        <v>129</v>
      </c>
      <c r="F151" s="1" t="s">
        <v>99</v>
      </c>
      <c r="G151" s="1" t="s">
        <v>167</v>
      </c>
      <c r="H151" s="1" t="s">
        <v>43</v>
      </c>
      <c r="I151" s="1" t="s">
        <v>116</v>
      </c>
      <c r="J151" s="1" t="s">
        <v>148</v>
      </c>
      <c r="K151" s="1" t="s">
        <v>118</v>
      </c>
      <c r="L151" s="1" t="n">
        <v>15</v>
      </c>
      <c r="M151" s="37" t="n">
        <v>177087</v>
      </c>
      <c r="N151" s="44" t="n">
        <v>0.08</v>
      </c>
      <c r="O151" s="1" t="n">
        <v>104207.52</v>
      </c>
      <c r="P151" s="37" t="n">
        <v>2656305</v>
      </c>
      <c r="Q151" s="37" t="n">
        <v>2443800.6</v>
      </c>
      <c r="R151" s="37" t="n">
        <v>880687.8</v>
      </c>
      <c r="S151" s="1" t="s">
        <v>172</v>
      </c>
    </row>
    <row r="152" customFormat="false" ht="15" hidden="false" customHeight="true" outlineLevel="0" collapsed="false">
      <c r="A152" s="43" t="n">
        <v>45480</v>
      </c>
      <c r="B152" s="1" t="n">
        <v>2024</v>
      </c>
      <c r="C152" s="1" t="s">
        <v>66</v>
      </c>
      <c r="D152" s="1" t="s">
        <v>126</v>
      </c>
      <c r="E152" s="1" t="s">
        <v>113</v>
      </c>
      <c r="F152" s="1" t="s">
        <v>143</v>
      </c>
      <c r="G152" s="1" t="s">
        <v>187</v>
      </c>
      <c r="H152" s="1" t="s">
        <v>36</v>
      </c>
      <c r="I152" s="1" t="s">
        <v>116</v>
      </c>
      <c r="J152" s="1" t="s">
        <v>117</v>
      </c>
      <c r="K152" s="1" t="s">
        <v>103</v>
      </c>
      <c r="L152" s="1" t="n">
        <v>35</v>
      </c>
      <c r="M152" s="37" t="n">
        <v>97454</v>
      </c>
      <c r="N152" s="44" t="n">
        <v>0.05</v>
      </c>
      <c r="O152" s="1" t="n">
        <v>52802.89</v>
      </c>
      <c r="P152" s="37" t="n">
        <v>3410890</v>
      </c>
      <c r="Q152" s="37" t="n">
        <v>3240345.5</v>
      </c>
      <c r="R152" s="37" t="n">
        <v>1392244.35</v>
      </c>
      <c r="S152" s="1" t="s">
        <v>125</v>
      </c>
    </row>
    <row r="153" customFormat="false" ht="15" hidden="false" customHeight="true" outlineLevel="0" collapsed="false">
      <c r="A153" s="43" t="n">
        <v>45516</v>
      </c>
      <c r="B153" s="1" t="n">
        <v>2024</v>
      </c>
      <c r="C153" s="1" t="s">
        <v>69</v>
      </c>
      <c r="D153" s="1" t="s">
        <v>126</v>
      </c>
      <c r="E153" s="1" t="s">
        <v>113</v>
      </c>
      <c r="F153" s="1" t="s">
        <v>138</v>
      </c>
      <c r="G153" s="1" t="s">
        <v>161</v>
      </c>
      <c r="H153" s="1" t="s">
        <v>34</v>
      </c>
      <c r="I153" s="1" t="s">
        <v>116</v>
      </c>
      <c r="J153" s="1" t="s">
        <v>132</v>
      </c>
      <c r="K153" s="1" t="s">
        <v>110</v>
      </c>
      <c r="L153" s="1" t="n">
        <v>38</v>
      </c>
      <c r="M153" s="37" t="n">
        <v>47113</v>
      </c>
      <c r="N153" s="44" t="n">
        <v>0.15</v>
      </c>
      <c r="O153" s="1" t="n">
        <v>26236.43</v>
      </c>
      <c r="P153" s="37" t="n">
        <v>1790294</v>
      </c>
      <c r="Q153" s="37" t="n">
        <v>1521749.9</v>
      </c>
      <c r="R153" s="37" t="n">
        <v>524765.56</v>
      </c>
      <c r="S153" s="1" t="s">
        <v>104</v>
      </c>
    </row>
    <row r="154" customFormat="false" ht="15" hidden="false" customHeight="true" outlineLevel="0" collapsed="false">
      <c r="A154" s="43" t="n">
        <v>45549</v>
      </c>
      <c r="B154" s="1" t="n">
        <v>2024</v>
      </c>
      <c r="C154" s="1" t="s">
        <v>72</v>
      </c>
      <c r="D154" s="1" t="s">
        <v>126</v>
      </c>
      <c r="E154" s="1" t="s">
        <v>120</v>
      </c>
      <c r="F154" s="1" t="s">
        <v>138</v>
      </c>
      <c r="G154" s="1" t="s">
        <v>197</v>
      </c>
      <c r="H154" s="1" t="s">
        <v>40</v>
      </c>
      <c r="I154" s="1" t="s">
        <v>108</v>
      </c>
      <c r="J154" s="1" t="s">
        <v>145</v>
      </c>
      <c r="K154" s="1" t="s">
        <v>118</v>
      </c>
      <c r="L154" s="1" t="n">
        <v>19</v>
      </c>
      <c r="M154" s="37" t="n">
        <v>94465</v>
      </c>
      <c r="N154" s="44" t="n">
        <v>0</v>
      </c>
      <c r="O154" s="1" t="n">
        <v>71125.8</v>
      </c>
      <c r="P154" s="37" t="n">
        <v>1794835</v>
      </c>
      <c r="Q154" s="37" t="n">
        <v>1794835</v>
      </c>
      <c r="R154" s="37" t="n">
        <v>443444.8</v>
      </c>
      <c r="S154" s="1" t="s">
        <v>97</v>
      </c>
    </row>
    <row r="155" customFormat="false" ht="15" hidden="false" customHeight="true" outlineLevel="0" collapsed="false">
      <c r="A155" s="43" t="n">
        <v>45579</v>
      </c>
      <c r="B155" s="1" t="n">
        <v>2024</v>
      </c>
      <c r="C155" s="1" t="s">
        <v>75</v>
      </c>
      <c r="D155" s="1" t="s">
        <v>136</v>
      </c>
      <c r="E155" s="1" t="s">
        <v>137</v>
      </c>
      <c r="F155" s="1" t="s">
        <v>121</v>
      </c>
      <c r="G155" s="1" t="s">
        <v>164</v>
      </c>
      <c r="H155" s="1" t="s">
        <v>42</v>
      </c>
      <c r="I155" s="1" t="s">
        <v>101</v>
      </c>
      <c r="J155" s="1" t="s">
        <v>128</v>
      </c>
      <c r="K155" s="1" t="s">
        <v>118</v>
      </c>
      <c r="L155" s="1" t="n">
        <v>11</v>
      </c>
      <c r="M155" s="37" t="n">
        <v>20089</v>
      </c>
      <c r="N155" s="44" t="n">
        <v>0.15</v>
      </c>
      <c r="O155" s="1" t="n">
        <v>11093.78</v>
      </c>
      <c r="P155" s="37" t="n">
        <v>220979</v>
      </c>
      <c r="Q155" s="37" t="n">
        <v>187832.15</v>
      </c>
      <c r="R155" s="37" t="n">
        <v>65800.57</v>
      </c>
      <c r="S155" s="1" t="s">
        <v>119</v>
      </c>
    </row>
    <row r="156" customFormat="false" ht="15" hidden="false" customHeight="true" outlineLevel="0" collapsed="false">
      <c r="A156" s="43" t="n">
        <v>45613</v>
      </c>
      <c r="B156" s="1" t="n">
        <v>2024</v>
      </c>
      <c r="C156" s="1" t="s">
        <v>76</v>
      </c>
      <c r="D156" s="1" t="s">
        <v>136</v>
      </c>
      <c r="E156" s="1" t="s">
        <v>91</v>
      </c>
      <c r="F156" s="1" t="s">
        <v>160</v>
      </c>
      <c r="G156" s="1" t="s">
        <v>122</v>
      </c>
      <c r="H156" s="1" t="s">
        <v>43</v>
      </c>
      <c r="I156" s="1" t="s">
        <v>33</v>
      </c>
      <c r="J156" s="1" t="s">
        <v>148</v>
      </c>
      <c r="K156" s="1" t="s">
        <v>103</v>
      </c>
      <c r="L156" s="1" t="n">
        <v>35</v>
      </c>
      <c r="M156" s="37" t="n">
        <v>108170</v>
      </c>
      <c r="N156" s="44" t="n">
        <v>0</v>
      </c>
      <c r="O156" s="1" t="n">
        <v>77449.88</v>
      </c>
      <c r="P156" s="37" t="n">
        <v>3785950</v>
      </c>
      <c r="Q156" s="37" t="n">
        <v>3785950</v>
      </c>
      <c r="R156" s="37" t="n">
        <v>1075204.2</v>
      </c>
      <c r="S156" s="1" t="s">
        <v>125</v>
      </c>
    </row>
    <row r="157" customFormat="false" ht="15" hidden="false" customHeight="true" outlineLevel="0" collapsed="false">
      <c r="A157" s="43" t="n">
        <v>45654</v>
      </c>
      <c r="B157" s="1" t="n">
        <v>2024</v>
      </c>
      <c r="C157" s="1" t="s">
        <v>77</v>
      </c>
      <c r="D157" s="1" t="s">
        <v>136</v>
      </c>
      <c r="E157" s="1" t="s">
        <v>91</v>
      </c>
      <c r="F157" s="1" t="s">
        <v>121</v>
      </c>
      <c r="G157" s="1" t="s">
        <v>198</v>
      </c>
      <c r="H157" s="1" t="s">
        <v>37</v>
      </c>
      <c r="I157" s="1" t="s">
        <v>38</v>
      </c>
      <c r="J157" s="1" t="s">
        <v>150</v>
      </c>
      <c r="K157" s="1" t="s">
        <v>103</v>
      </c>
      <c r="L157" s="1" t="n">
        <v>6</v>
      </c>
      <c r="M157" s="37" t="n">
        <v>42772</v>
      </c>
      <c r="N157" s="44" t="n">
        <v>0.15</v>
      </c>
      <c r="O157" s="1" t="n">
        <v>22389.32</v>
      </c>
      <c r="P157" s="37" t="n">
        <v>256632</v>
      </c>
      <c r="Q157" s="37" t="n">
        <v>218137.2</v>
      </c>
      <c r="R157" s="37" t="n">
        <v>83801.28</v>
      </c>
      <c r="S157" s="1" t="s">
        <v>172</v>
      </c>
    </row>
    <row r="158" customFormat="false" ht="15" hidden="false" customHeight="true" outlineLevel="0" collapsed="false">
      <c r="A158" s="43" t="n">
        <v>45296</v>
      </c>
      <c r="B158" s="1" t="n">
        <v>2024</v>
      </c>
      <c r="C158" s="1" t="s">
        <v>50</v>
      </c>
      <c r="D158" s="1" t="s">
        <v>90</v>
      </c>
      <c r="E158" s="1" t="s">
        <v>105</v>
      </c>
      <c r="F158" s="1" t="s">
        <v>151</v>
      </c>
      <c r="G158" s="1" t="s">
        <v>186</v>
      </c>
      <c r="H158" s="1" t="s">
        <v>44</v>
      </c>
      <c r="I158" s="1" t="s">
        <v>108</v>
      </c>
      <c r="J158" s="1" t="s">
        <v>109</v>
      </c>
      <c r="K158" s="1" t="s">
        <v>110</v>
      </c>
      <c r="L158" s="1" t="n">
        <v>23</v>
      </c>
      <c r="M158" s="37" t="n">
        <v>168462</v>
      </c>
      <c r="N158" s="44"/>
      <c r="O158" s="1" t="n">
        <v>133531.41</v>
      </c>
      <c r="P158" s="37" t="n">
        <v>3874626</v>
      </c>
      <c r="Q158" s="37" t="n">
        <v>3874626</v>
      </c>
      <c r="R158" s="37" t="n">
        <v>803403.57</v>
      </c>
      <c r="S158" s="1" t="s">
        <v>119</v>
      </c>
    </row>
    <row r="159" customFormat="false" ht="15" hidden="false" customHeight="true" outlineLevel="0" collapsed="false">
      <c r="A159" s="43" t="n">
        <v>45327</v>
      </c>
      <c r="B159" s="1" t="n">
        <v>2024</v>
      </c>
      <c r="C159" s="1" t="s">
        <v>53</v>
      </c>
      <c r="D159" s="1" t="s">
        <v>90</v>
      </c>
      <c r="E159" s="1" t="s">
        <v>105</v>
      </c>
      <c r="F159" s="1" t="s">
        <v>138</v>
      </c>
      <c r="G159" s="1" t="s">
        <v>100</v>
      </c>
      <c r="H159" s="1" t="s">
        <v>34</v>
      </c>
      <c r="I159" s="1" t="s">
        <v>101</v>
      </c>
      <c r="J159" s="1" t="s">
        <v>132</v>
      </c>
      <c r="K159" s="1" t="s">
        <v>103</v>
      </c>
      <c r="L159" s="1" t="n">
        <v>9</v>
      </c>
      <c r="M159" s="37" t="n">
        <v>46784</v>
      </c>
      <c r="N159" s="44"/>
      <c r="O159" s="1" t="n">
        <v>34618.69</v>
      </c>
      <c r="P159" s="37" t="n">
        <v>421056</v>
      </c>
      <c r="Q159" s="37" t="n">
        <v>421056</v>
      </c>
      <c r="R159" s="37" t="n">
        <v>109487.79</v>
      </c>
      <c r="S159" s="1" t="s">
        <v>172</v>
      </c>
    </row>
    <row r="160" customFormat="false" ht="15" hidden="false" customHeight="true" outlineLevel="0" collapsed="false">
      <c r="A160" s="43" t="n">
        <v>45354</v>
      </c>
      <c r="B160" s="1" t="n">
        <v>2024</v>
      </c>
      <c r="C160" s="1" t="s">
        <v>56</v>
      </c>
      <c r="D160" s="1" t="s">
        <v>90</v>
      </c>
      <c r="E160" s="1" t="s">
        <v>137</v>
      </c>
      <c r="F160" s="1" t="s">
        <v>188</v>
      </c>
      <c r="G160" s="1" t="s">
        <v>142</v>
      </c>
      <c r="H160" s="1" t="s">
        <v>42</v>
      </c>
      <c r="I160" s="1" t="s">
        <v>116</v>
      </c>
      <c r="J160" s="1" t="s">
        <v>128</v>
      </c>
      <c r="K160" s="1" t="s">
        <v>123</v>
      </c>
      <c r="L160" s="1" t="n">
        <v>18</v>
      </c>
      <c r="M160" s="37" t="n">
        <v>108749</v>
      </c>
      <c r="N160" s="44" t="n">
        <v>0.12</v>
      </c>
      <c r="O160" s="1" t="n">
        <v>61394.38</v>
      </c>
      <c r="P160" s="37" t="n">
        <v>1957482</v>
      </c>
      <c r="Q160" s="37" t="n">
        <v>1722584.16</v>
      </c>
      <c r="R160" s="37" t="n">
        <v>617485.32</v>
      </c>
      <c r="S160" s="1" t="s">
        <v>97</v>
      </c>
    </row>
    <row r="161" customFormat="false" ht="15" hidden="false" customHeight="true" outlineLevel="0" collapsed="false">
      <c r="A161" s="43" t="n">
        <v>45405</v>
      </c>
      <c r="B161" s="1" t="n">
        <v>2024</v>
      </c>
      <c r="C161" s="1" t="s">
        <v>59</v>
      </c>
      <c r="D161" s="1" t="s">
        <v>112</v>
      </c>
      <c r="E161" s="1" t="s">
        <v>113</v>
      </c>
      <c r="F161" s="1" t="s">
        <v>106</v>
      </c>
      <c r="G161" s="1" t="s">
        <v>124</v>
      </c>
      <c r="H161" s="1" t="s">
        <v>45</v>
      </c>
      <c r="I161" s="1" t="s">
        <v>38</v>
      </c>
      <c r="J161" s="1" t="s">
        <v>95</v>
      </c>
      <c r="K161" s="1" t="s">
        <v>96</v>
      </c>
      <c r="L161" s="1" t="n">
        <v>28</v>
      </c>
      <c r="M161" s="37" t="n">
        <v>141686</v>
      </c>
      <c r="N161" s="44" t="n">
        <v>0.2</v>
      </c>
      <c r="O161" s="1" t="n">
        <v>80508.01</v>
      </c>
      <c r="P161" s="37" t="n">
        <v>3967208</v>
      </c>
      <c r="Q161" s="37" t="n">
        <v>3173766.4</v>
      </c>
      <c r="R161" s="37" t="n">
        <v>919542.12</v>
      </c>
      <c r="S161" s="1" t="s">
        <v>111</v>
      </c>
    </row>
    <row r="162" customFormat="false" ht="15" hidden="false" customHeight="true" outlineLevel="0" collapsed="false">
      <c r="A162" s="43" t="n">
        <v>45416</v>
      </c>
      <c r="B162" s="1" t="n">
        <v>2024</v>
      </c>
      <c r="C162" s="1" t="s">
        <v>62</v>
      </c>
      <c r="D162" s="1" t="s">
        <v>112</v>
      </c>
      <c r="E162" s="1" t="s">
        <v>137</v>
      </c>
      <c r="F162" s="1" t="s">
        <v>138</v>
      </c>
      <c r="G162" s="1" t="s">
        <v>159</v>
      </c>
      <c r="H162" s="1" t="s">
        <v>32</v>
      </c>
      <c r="I162" s="1" t="s">
        <v>101</v>
      </c>
      <c r="J162" s="1" t="s">
        <v>176</v>
      </c>
      <c r="K162" s="1" t="s">
        <v>103</v>
      </c>
      <c r="L162" s="1" t="n">
        <v>11</v>
      </c>
      <c r="M162" s="37" t="n">
        <v>12177</v>
      </c>
      <c r="N162" s="44" t="n">
        <v>0.08</v>
      </c>
      <c r="O162" s="1" t="n">
        <v>6341.92</v>
      </c>
      <c r="P162" s="37" t="n">
        <v>133947</v>
      </c>
      <c r="Q162" s="37" t="n">
        <v>123231.24</v>
      </c>
      <c r="R162" s="37" t="n">
        <v>53470.12</v>
      </c>
      <c r="S162" s="1" t="s">
        <v>172</v>
      </c>
    </row>
    <row r="163" customFormat="false" ht="15" hidden="false" customHeight="true" outlineLevel="0" collapsed="false">
      <c r="A163" s="43" t="n">
        <v>45464</v>
      </c>
      <c r="B163" s="1" t="n">
        <v>2024</v>
      </c>
      <c r="C163" s="1" t="s">
        <v>65</v>
      </c>
      <c r="D163" s="1" t="s">
        <v>112</v>
      </c>
      <c r="E163" s="1" t="s">
        <v>113</v>
      </c>
      <c r="F163" s="1" t="s">
        <v>134</v>
      </c>
      <c r="G163" s="1" t="s">
        <v>141</v>
      </c>
      <c r="H163" s="1" t="s">
        <v>34</v>
      </c>
      <c r="I163" s="1" t="s">
        <v>116</v>
      </c>
      <c r="J163" s="1" t="s">
        <v>132</v>
      </c>
      <c r="K163" s="1" t="s">
        <v>206</v>
      </c>
      <c r="L163" s="1" t="n">
        <v>11</v>
      </c>
      <c r="M163" s="37" t="n">
        <v>175998</v>
      </c>
      <c r="N163" s="44" t="n">
        <v>0.15</v>
      </c>
      <c r="O163" s="1" t="n">
        <v>105639.43</v>
      </c>
      <c r="P163" s="37" t="n">
        <v>1935978</v>
      </c>
      <c r="Q163" s="37" t="n">
        <v>1645581.3</v>
      </c>
      <c r="R163" s="37" t="n">
        <v>483547.57</v>
      </c>
      <c r="S163" s="1" t="s">
        <v>97</v>
      </c>
    </row>
    <row r="164" customFormat="false" ht="15" hidden="false" customHeight="true" outlineLevel="0" collapsed="false">
      <c r="A164" s="43" t="n">
        <v>45474</v>
      </c>
      <c r="B164" s="1" t="n">
        <v>2024</v>
      </c>
      <c r="C164" s="1" t="s">
        <v>66</v>
      </c>
      <c r="D164" s="1" t="s">
        <v>126</v>
      </c>
      <c r="E164" s="1" t="s">
        <v>91</v>
      </c>
      <c r="F164" s="1" t="s">
        <v>92</v>
      </c>
      <c r="G164" s="1" t="s">
        <v>159</v>
      </c>
      <c r="H164" s="1" t="s">
        <v>42</v>
      </c>
      <c r="I164" s="1" t="s">
        <v>33</v>
      </c>
      <c r="J164" s="1" t="s">
        <v>128</v>
      </c>
      <c r="K164" s="1" t="s">
        <v>103</v>
      </c>
      <c r="L164" s="1" t="n">
        <v>28</v>
      </c>
      <c r="M164" s="37" t="n">
        <v>137226</v>
      </c>
      <c r="N164" s="44" t="n">
        <v>0.08</v>
      </c>
      <c r="O164" s="1" t="n">
        <v>66042.19</v>
      </c>
      <c r="P164" s="37" t="n">
        <v>3842328</v>
      </c>
      <c r="Q164" s="37" t="n">
        <v>3534941.76</v>
      </c>
      <c r="R164" s="37" t="n">
        <v>1685760.44</v>
      </c>
      <c r="S164" s="1" t="s">
        <v>97</v>
      </c>
    </row>
    <row r="165" customFormat="false" ht="15" hidden="false" customHeight="true" outlineLevel="0" collapsed="false">
      <c r="A165" s="43" t="n">
        <v>45526</v>
      </c>
      <c r="B165" s="1" t="n">
        <v>2024</v>
      </c>
      <c r="C165" s="1" t="s">
        <v>69</v>
      </c>
      <c r="D165" s="1" t="s">
        <v>126</v>
      </c>
      <c r="E165" s="1" t="s">
        <v>120</v>
      </c>
      <c r="F165" s="1" t="s">
        <v>106</v>
      </c>
      <c r="G165" s="1" t="s">
        <v>147</v>
      </c>
      <c r="H165" s="1" t="s">
        <v>45</v>
      </c>
      <c r="I165" s="1" t="s">
        <v>38</v>
      </c>
      <c r="J165" s="1" t="s">
        <v>95</v>
      </c>
      <c r="K165" s="1" t="s">
        <v>110</v>
      </c>
      <c r="L165" s="1" t="n">
        <v>11</v>
      </c>
      <c r="M165" s="37" t="n">
        <v>67851</v>
      </c>
      <c r="N165" s="44" t="n">
        <v>0.1</v>
      </c>
      <c r="O165" s="1" t="n">
        <v>52378.46</v>
      </c>
      <c r="P165" s="37" t="n">
        <v>746361</v>
      </c>
      <c r="Q165" s="37" t="n">
        <v>671724.9</v>
      </c>
      <c r="R165" s="37" t="n">
        <v>95561.84</v>
      </c>
      <c r="S165" s="1" t="s">
        <v>111</v>
      </c>
    </row>
    <row r="166" customFormat="false" ht="15" hidden="false" customHeight="true" outlineLevel="0" collapsed="false">
      <c r="A166" s="43" t="n">
        <v>45559</v>
      </c>
      <c r="B166" s="1" t="n">
        <v>2024</v>
      </c>
      <c r="C166" s="1" t="s">
        <v>72</v>
      </c>
      <c r="D166" s="1" t="s">
        <v>126</v>
      </c>
      <c r="E166" s="1" t="s">
        <v>98</v>
      </c>
      <c r="F166" s="1" t="s">
        <v>130</v>
      </c>
      <c r="H166" s="1" t="s">
        <v>44</v>
      </c>
      <c r="I166" s="1" t="s">
        <v>108</v>
      </c>
      <c r="J166" s="1" t="s">
        <v>109</v>
      </c>
      <c r="K166" s="1" t="s">
        <v>103</v>
      </c>
      <c r="L166" s="1" t="n">
        <v>9</v>
      </c>
      <c r="M166" s="37" t="n">
        <v>34085</v>
      </c>
      <c r="N166" s="44" t="n">
        <v>0.2</v>
      </c>
      <c r="O166" s="1" t="n">
        <v>24631.16</v>
      </c>
      <c r="P166" s="37" t="n">
        <v>306765</v>
      </c>
      <c r="Q166" s="37" t="n">
        <v>245412</v>
      </c>
      <c r="R166" s="37" t="n">
        <v>23731.56</v>
      </c>
      <c r="S166" s="1" t="s">
        <v>172</v>
      </c>
    </row>
    <row r="167" customFormat="false" ht="15" hidden="false" customHeight="true" outlineLevel="0" collapsed="false">
      <c r="A167" s="43" t="n">
        <v>45572</v>
      </c>
      <c r="B167" s="1" t="n">
        <v>2024</v>
      </c>
      <c r="C167" s="1" t="s">
        <v>75</v>
      </c>
      <c r="D167" s="1" t="s">
        <v>136</v>
      </c>
      <c r="E167" s="1" t="s">
        <v>137</v>
      </c>
      <c r="F167" s="1" t="s">
        <v>121</v>
      </c>
      <c r="G167" s="1" t="s">
        <v>168</v>
      </c>
      <c r="H167" s="1" t="s">
        <v>43</v>
      </c>
      <c r="I167" s="1" t="s">
        <v>116</v>
      </c>
      <c r="J167" s="1" t="s">
        <v>148</v>
      </c>
      <c r="K167" s="1" t="s">
        <v>103</v>
      </c>
      <c r="L167" s="1" t="n">
        <v>16</v>
      </c>
      <c r="M167" s="37" t="n">
        <v>41555</v>
      </c>
      <c r="N167" s="44" t="n">
        <v>0.05</v>
      </c>
      <c r="O167" s="1" t="n">
        <v>26383.28</v>
      </c>
      <c r="P167" s="37" t="n">
        <v>664880</v>
      </c>
      <c r="Q167" s="37" t="n">
        <v>631636</v>
      </c>
      <c r="R167" s="37" t="n">
        <v>209503.52</v>
      </c>
      <c r="S167" s="1" t="s">
        <v>97</v>
      </c>
    </row>
    <row r="168" customFormat="false" ht="15" hidden="false" customHeight="true" outlineLevel="0" collapsed="false">
      <c r="A168" s="43" t="n">
        <v>45608</v>
      </c>
      <c r="B168" s="1" t="n">
        <v>2024</v>
      </c>
      <c r="C168" s="1" t="s">
        <v>76</v>
      </c>
      <c r="D168" s="1" t="s">
        <v>136</v>
      </c>
      <c r="E168" s="1" t="s">
        <v>129</v>
      </c>
      <c r="F168" s="1" t="s">
        <v>143</v>
      </c>
      <c r="G168" s="1" t="s">
        <v>203</v>
      </c>
      <c r="H168" s="1" t="s">
        <v>40</v>
      </c>
      <c r="I168" s="1" t="s">
        <v>108</v>
      </c>
      <c r="J168" s="1" t="s">
        <v>145</v>
      </c>
      <c r="K168" s="1" t="s">
        <v>103</v>
      </c>
      <c r="L168" s="1" t="n">
        <v>30</v>
      </c>
      <c r="M168" s="37" t="n">
        <v>15615</v>
      </c>
      <c r="N168" s="44" t="n">
        <v>0</v>
      </c>
      <c r="O168" s="1" t="n">
        <v>12068.88</v>
      </c>
      <c r="P168" s="37" t="n">
        <v>468450</v>
      </c>
      <c r="Q168" s="37" t="n">
        <v>468450</v>
      </c>
      <c r="R168" s="37" t="n">
        <v>106383.6</v>
      </c>
      <c r="S168" s="1" t="s">
        <v>125</v>
      </c>
    </row>
    <row r="169" customFormat="false" ht="15" hidden="false" customHeight="true" outlineLevel="0" collapsed="false">
      <c r="A169" s="43" t="n">
        <v>45629</v>
      </c>
      <c r="B169" s="1" t="n">
        <v>2024</v>
      </c>
      <c r="C169" s="1" t="s">
        <v>77</v>
      </c>
      <c r="D169" s="1" t="s">
        <v>136</v>
      </c>
      <c r="E169" s="1" t="s">
        <v>137</v>
      </c>
      <c r="F169" s="1" t="s">
        <v>160</v>
      </c>
      <c r="G169" s="1" t="s">
        <v>100</v>
      </c>
      <c r="H169" s="1" t="s">
        <v>40</v>
      </c>
      <c r="I169" s="1" t="s">
        <v>144</v>
      </c>
      <c r="J169" s="1" t="s">
        <v>145</v>
      </c>
      <c r="K169" s="1" t="s">
        <v>146</v>
      </c>
      <c r="L169" s="1" t="n">
        <v>20</v>
      </c>
      <c r="M169" s="37" t="n">
        <v>65267</v>
      </c>
      <c r="N169" s="44" t="n">
        <v>0.1</v>
      </c>
      <c r="O169" s="1" t="n">
        <v>41623.15</v>
      </c>
      <c r="P169" s="37" t="n">
        <v>1305340</v>
      </c>
      <c r="Q169" s="37" t="n">
        <v>1174806</v>
      </c>
      <c r="R169" s="37" t="n">
        <v>342343</v>
      </c>
      <c r="S169" s="1" t="s">
        <v>125</v>
      </c>
    </row>
    <row r="170" customFormat="false" ht="15" hidden="false" customHeight="true" outlineLevel="0" collapsed="false">
      <c r="A170" s="43" t="n">
        <v>45305</v>
      </c>
      <c r="B170" s="1" t="n">
        <v>2024</v>
      </c>
      <c r="C170" s="1" t="s">
        <v>50</v>
      </c>
      <c r="D170" s="1" t="s">
        <v>90</v>
      </c>
      <c r="E170" s="1" t="s">
        <v>137</v>
      </c>
      <c r="F170" s="1" t="s">
        <v>151</v>
      </c>
      <c r="G170" s="1" t="s">
        <v>93</v>
      </c>
      <c r="H170" s="1" t="s">
        <v>46</v>
      </c>
      <c r="I170" s="1" t="s">
        <v>33</v>
      </c>
      <c r="J170" s="1" t="s">
        <v>102</v>
      </c>
      <c r="K170" s="1" t="s">
        <v>146</v>
      </c>
      <c r="L170" s="1" t="n">
        <v>28</v>
      </c>
      <c r="M170" s="37" t="n">
        <v>172509</v>
      </c>
      <c r="N170" s="44" t="n">
        <v>0.2</v>
      </c>
      <c r="O170" s="1" t="n">
        <v>117845.7</v>
      </c>
      <c r="P170" s="37" t="n">
        <v>4830252</v>
      </c>
      <c r="Q170" s="37" t="n">
        <v>3864201.6</v>
      </c>
      <c r="R170" s="37" t="n">
        <v>564522</v>
      </c>
      <c r="S170" s="1" t="s">
        <v>172</v>
      </c>
    </row>
    <row r="171" customFormat="false" ht="15" hidden="false" customHeight="true" outlineLevel="0" collapsed="false">
      <c r="A171" s="43" t="n">
        <v>45334</v>
      </c>
      <c r="B171" s="1" t="n">
        <v>2024</v>
      </c>
      <c r="C171" s="1" t="s">
        <v>53</v>
      </c>
      <c r="D171" s="1" t="s">
        <v>90</v>
      </c>
      <c r="E171" s="1" t="s">
        <v>129</v>
      </c>
      <c r="F171" s="1" t="s">
        <v>158</v>
      </c>
      <c r="G171" s="1" t="s">
        <v>197</v>
      </c>
      <c r="H171" s="1" t="s">
        <v>42</v>
      </c>
      <c r="I171" s="1" t="s">
        <v>116</v>
      </c>
      <c r="J171" s="1" t="s">
        <v>128</v>
      </c>
      <c r="K171" s="1" t="s">
        <v>133</v>
      </c>
      <c r="L171" s="1" t="n">
        <v>9</v>
      </c>
      <c r="M171" s="37" t="n">
        <v>82454</v>
      </c>
      <c r="N171" s="44" t="n">
        <v>0.05</v>
      </c>
      <c r="O171" s="1" t="n">
        <v>59366.93</v>
      </c>
      <c r="P171" s="37" t="n">
        <v>742086</v>
      </c>
      <c r="Q171" s="37" t="n">
        <v>704981.7</v>
      </c>
      <c r="R171" s="37" t="n">
        <v>170679.33</v>
      </c>
      <c r="S171" s="1" t="s">
        <v>97</v>
      </c>
    </row>
    <row r="172" customFormat="false" ht="15" hidden="false" customHeight="true" outlineLevel="0" collapsed="false">
      <c r="A172" s="43" t="n">
        <v>45354</v>
      </c>
      <c r="B172" s="1" t="n">
        <v>2024</v>
      </c>
      <c r="C172" s="1" t="s">
        <v>56</v>
      </c>
      <c r="D172" s="1" t="s">
        <v>90</v>
      </c>
      <c r="E172" s="1" t="s">
        <v>98</v>
      </c>
      <c r="F172" s="1" t="s">
        <v>121</v>
      </c>
      <c r="G172" s="1" t="s">
        <v>186</v>
      </c>
      <c r="H172" s="1" t="s">
        <v>45</v>
      </c>
      <c r="I172" s="1" t="s">
        <v>38</v>
      </c>
      <c r="J172" s="1" t="s">
        <v>95</v>
      </c>
      <c r="K172" s="1" t="s">
        <v>118</v>
      </c>
      <c r="L172" s="1" t="n">
        <v>37</v>
      </c>
      <c r="M172" s="37" t="n">
        <v>53237</v>
      </c>
      <c r="N172" s="44" t="n">
        <v>0.05</v>
      </c>
      <c r="O172" s="1" t="n">
        <v>40619.51</v>
      </c>
      <c r="P172" s="37" t="n">
        <v>1969769</v>
      </c>
      <c r="Q172" s="37" t="n">
        <v>1871280.55</v>
      </c>
      <c r="R172" s="37" t="n">
        <v>368358.68</v>
      </c>
      <c r="S172" s="1" t="s">
        <v>172</v>
      </c>
    </row>
    <row r="173" customFormat="false" ht="15" hidden="false" customHeight="true" outlineLevel="0" collapsed="false">
      <c r="A173" s="43" t="n">
        <v>45384</v>
      </c>
      <c r="B173" s="1" t="n">
        <v>2024</v>
      </c>
      <c r="C173" s="1" t="s">
        <v>59</v>
      </c>
      <c r="D173" s="1" t="s">
        <v>112</v>
      </c>
      <c r="E173" s="1" t="s">
        <v>98</v>
      </c>
      <c r="F173" s="1" t="s">
        <v>130</v>
      </c>
      <c r="G173" s="1" t="s">
        <v>127</v>
      </c>
      <c r="H173" s="1" t="s">
        <v>36</v>
      </c>
      <c r="I173" s="1" t="s">
        <v>116</v>
      </c>
      <c r="J173" s="1" t="s">
        <v>117</v>
      </c>
      <c r="K173" s="1" t="s">
        <v>96</v>
      </c>
      <c r="L173" s="1" t="n">
        <v>3</v>
      </c>
      <c r="M173" s="37" t="n">
        <v>121935</v>
      </c>
      <c r="N173" s="44" t="n">
        <v>0.15</v>
      </c>
      <c r="O173" s="1" t="n">
        <v>72635.44</v>
      </c>
      <c r="P173" s="37" t="n">
        <v>365805</v>
      </c>
      <c r="Q173" s="37" t="n">
        <v>310934.25</v>
      </c>
      <c r="R173" s="37" t="n">
        <v>93027.93</v>
      </c>
      <c r="S173" s="1" t="s">
        <v>172</v>
      </c>
    </row>
    <row r="174" customFormat="false" ht="15" hidden="false" customHeight="true" outlineLevel="0" collapsed="false">
      <c r="A174" s="43" t="n">
        <v>45418</v>
      </c>
      <c r="B174" s="1" t="n">
        <v>2024</v>
      </c>
      <c r="C174" s="1" t="s">
        <v>62</v>
      </c>
      <c r="D174" s="1" t="s">
        <v>112</v>
      </c>
      <c r="E174" s="1" t="s">
        <v>120</v>
      </c>
      <c r="F174" s="1" t="s">
        <v>160</v>
      </c>
      <c r="G174" s="1" t="s">
        <v>207</v>
      </c>
      <c r="H174" s="1" t="s">
        <v>32</v>
      </c>
      <c r="I174" s="1" t="s">
        <v>101</v>
      </c>
      <c r="J174" s="1" t="s">
        <v>176</v>
      </c>
      <c r="K174" s="1" t="s">
        <v>146</v>
      </c>
      <c r="L174" s="1" t="n">
        <v>30</v>
      </c>
      <c r="M174" s="37" t="n">
        <v>93447</v>
      </c>
      <c r="N174" s="44" t="n">
        <v>0.12</v>
      </c>
      <c r="O174" s="1" t="n">
        <v>42311.79</v>
      </c>
      <c r="P174" s="37" t="n">
        <v>2803410</v>
      </c>
      <c r="Q174" s="37" t="n">
        <v>2467000.8</v>
      </c>
      <c r="R174" s="37" t="n">
        <v>1197647.1</v>
      </c>
      <c r="S174" s="1" t="s">
        <v>104</v>
      </c>
    </row>
    <row r="175" customFormat="false" ht="15" hidden="false" customHeight="true" outlineLevel="0" collapsed="false">
      <c r="A175" s="43" t="n">
        <v>45459</v>
      </c>
      <c r="B175" s="1" t="n">
        <v>2024</v>
      </c>
      <c r="C175" s="1" t="s">
        <v>65</v>
      </c>
      <c r="D175" s="1" t="s">
        <v>112</v>
      </c>
      <c r="E175" s="1" t="s">
        <v>105</v>
      </c>
      <c r="F175" s="1" t="s">
        <v>170</v>
      </c>
      <c r="G175" s="1" t="s">
        <v>135</v>
      </c>
      <c r="H175" s="1" t="s">
        <v>44</v>
      </c>
      <c r="I175" s="1" t="s">
        <v>108</v>
      </c>
      <c r="J175" s="1" t="s">
        <v>109</v>
      </c>
      <c r="K175" s="1" t="s">
        <v>103</v>
      </c>
      <c r="L175" s="1" t="n">
        <v>16</v>
      </c>
      <c r="M175" s="37" t="n">
        <v>477952</v>
      </c>
      <c r="N175" s="44"/>
      <c r="O175" s="1" t="n">
        <v>321460.79</v>
      </c>
      <c r="P175" s="37" t="n">
        <v>7647232</v>
      </c>
      <c r="Q175" s="37"/>
      <c r="R175" s="37" t="n">
        <v>2503859.36</v>
      </c>
      <c r="S175" s="1" t="s">
        <v>172</v>
      </c>
    </row>
    <row r="176" customFormat="false" ht="15" hidden="false" customHeight="true" outlineLevel="0" collapsed="false">
      <c r="A176" s="43" t="n">
        <v>45483</v>
      </c>
      <c r="B176" s="1" t="n">
        <v>2024</v>
      </c>
      <c r="C176" s="1" t="s">
        <v>66</v>
      </c>
      <c r="D176" s="1" t="s">
        <v>126</v>
      </c>
      <c r="E176" s="1" t="s">
        <v>91</v>
      </c>
      <c r="F176" s="1" t="s">
        <v>170</v>
      </c>
      <c r="G176" s="1" t="s">
        <v>178</v>
      </c>
      <c r="H176" s="1" t="s">
        <v>46</v>
      </c>
      <c r="I176" s="1" t="s">
        <v>116</v>
      </c>
      <c r="J176" s="1" t="s">
        <v>102</v>
      </c>
      <c r="K176" s="1" t="s">
        <v>118</v>
      </c>
      <c r="L176" s="1" t="n">
        <v>32</v>
      </c>
      <c r="M176" s="37" t="n">
        <v>49322</v>
      </c>
      <c r="N176" s="44" t="n">
        <v>0.05</v>
      </c>
      <c r="O176" s="1" t="n">
        <v>22952.74</v>
      </c>
      <c r="P176" s="37" t="n">
        <v>1578304</v>
      </c>
      <c r="Q176" s="37" t="n">
        <v>1499388.8</v>
      </c>
      <c r="R176" s="37" t="n">
        <v>764901.12</v>
      </c>
      <c r="S176" s="1" t="s">
        <v>104</v>
      </c>
    </row>
    <row r="177" customFormat="false" ht="15" hidden="false" customHeight="true" outlineLevel="0" collapsed="false">
      <c r="A177" s="43" t="n">
        <v>45523</v>
      </c>
      <c r="B177" s="1" t="n">
        <v>2024</v>
      </c>
      <c r="C177" s="1" t="s">
        <v>69</v>
      </c>
      <c r="D177" s="1" t="s">
        <v>126</v>
      </c>
      <c r="E177" s="1" t="s">
        <v>91</v>
      </c>
      <c r="F177" s="1" t="s">
        <v>160</v>
      </c>
      <c r="G177" s="1" t="s">
        <v>124</v>
      </c>
      <c r="H177" s="1" t="s">
        <v>34</v>
      </c>
      <c r="I177" s="1" t="s">
        <v>101</v>
      </c>
      <c r="J177" s="1" t="s">
        <v>132</v>
      </c>
      <c r="K177" s="1" t="s">
        <v>146</v>
      </c>
      <c r="L177" s="1" t="n">
        <v>38</v>
      </c>
      <c r="M177" s="37" t="n">
        <v>126028</v>
      </c>
      <c r="N177" s="44" t="n">
        <v>0.1</v>
      </c>
      <c r="O177" s="1" t="n">
        <v>67156.55</v>
      </c>
      <c r="P177" s="37" t="n">
        <v>4789064</v>
      </c>
      <c r="Q177" s="37" t="n">
        <v>4310157.6</v>
      </c>
      <c r="R177" s="37" t="n">
        <v>1758208.7</v>
      </c>
      <c r="S177" s="1" t="s">
        <v>119</v>
      </c>
    </row>
    <row r="178" customFormat="false" ht="15" hidden="false" customHeight="true" outlineLevel="0" collapsed="false">
      <c r="A178" s="43" t="n">
        <v>45550</v>
      </c>
      <c r="B178" s="1" t="n">
        <v>2024</v>
      </c>
      <c r="C178" s="1" t="s">
        <v>72</v>
      </c>
      <c r="D178" s="1" t="s">
        <v>126</v>
      </c>
      <c r="E178" s="1" t="s">
        <v>113</v>
      </c>
      <c r="F178" s="1" t="s">
        <v>151</v>
      </c>
      <c r="G178" s="1" t="s">
        <v>202</v>
      </c>
      <c r="H178" s="1" t="s">
        <v>39</v>
      </c>
      <c r="I178" s="1" t="s">
        <v>155</v>
      </c>
      <c r="J178" s="1" t="s">
        <v>150</v>
      </c>
      <c r="K178" s="1" t="s">
        <v>96</v>
      </c>
      <c r="L178" s="1" t="n">
        <v>38</v>
      </c>
      <c r="M178" s="37" t="n">
        <v>39697</v>
      </c>
      <c r="N178" s="44" t="n">
        <v>0.12</v>
      </c>
      <c r="O178" s="1" t="n">
        <v>22226.81</v>
      </c>
      <c r="P178" s="37" t="n">
        <v>1508486</v>
      </c>
      <c r="Q178" s="37" t="n">
        <v>1327467.68</v>
      </c>
      <c r="R178" s="37" t="n">
        <v>482848.9</v>
      </c>
      <c r="S178" s="1" t="s">
        <v>97</v>
      </c>
    </row>
    <row r="179" customFormat="false" ht="15" hidden="false" customHeight="true" outlineLevel="0" collapsed="false">
      <c r="A179" s="43" t="n">
        <v>45568</v>
      </c>
      <c r="B179" s="1" t="n">
        <v>2024</v>
      </c>
      <c r="C179" s="1" t="s">
        <v>75</v>
      </c>
      <c r="D179" s="1" t="s">
        <v>136</v>
      </c>
      <c r="E179" s="1" t="s">
        <v>120</v>
      </c>
      <c r="F179" s="1" t="s">
        <v>92</v>
      </c>
      <c r="G179" s="1" t="s">
        <v>169</v>
      </c>
      <c r="H179" s="1" t="s">
        <v>34</v>
      </c>
      <c r="I179" s="1" t="s">
        <v>101</v>
      </c>
      <c r="J179" s="1" t="s">
        <v>132</v>
      </c>
      <c r="K179" s="1" t="s">
        <v>96</v>
      </c>
      <c r="L179" s="1" t="n">
        <v>21</v>
      </c>
      <c r="M179" s="37" t="n">
        <v>77069</v>
      </c>
      <c r="N179" s="44" t="n">
        <v>0.08</v>
      </c>
      <c r="O179" s="1" t="n">
        <v>48531.19</v>
      </c>
      <c r="P179" s="37" t="n">
        <v>1618449</v>
      </c>
      <c r="Q179" s="37" t="n">
        <v>1488973.08</v>
      </c>
      <c r="R179" s="37" t="n">
        <v>469818.09</v>
      </c>
      <c r="S179" s="1" t="s">
        <v>172</v>
      </c>
    </row>
    <row r="180" customFormat="false" ht="15" hidden="false" customHeight="true" outlineLevel="0" collapsed="false">
      <c r="A180" s="43" t="n">
        <v>45620</v>
      </c>
      <c r="B180" s="1" t="n">
        <v>2024</v>
      </c>
      <c r="C180" s="1" t="s">
        <v>76</v>
      </c>
      <c r="D180" s="1" t="s">
        <v>136</v>
      </c>
      <c r="E180" s="1" t="s">
        <v>129</v>
      </c>
      <c r="F180" s="1" t="s">
        <v>151</v>
      </c>
      <c r="G180" s="1" t="s">
        <v>177</v>
      </c>
      <c r="H180" s="1" t="s">
        <v>43</v>
      </c>
      <c r="I180" s="1" t="s">
        <v>101</v>
      </c>
      <c r="J180" s="1" t="s">
        <v>148</v>
      </c>
      <c r="K180" s="1" t="s">
        <v>146</v>
      </c>
      <c r="L180" s="1" t="n">
        <v>9</v>
      </c>
      <c r="M180" s="37" t="n">
        <v>28166</v>
      </c>
      <c r="N180" s="44" t="n">
        <v>0.15</v>
      </c>
      <c r="O180" s="1" t="n">
        <v>13963.3</v>
      </c>
      <c r="P180" s="37" t="n">
        <v>253494</v>
      </c>
      <c r="Q180" s="37" t="n">
        <v>215469.9</v>
      </c>
      <c r="R180" s="37" t="n">
        <v>89800.2</v>
      </c>
      <c r="S180" s="1" t="s">
        <v>125</v>
      </c>
    </row>
    <row r="181" customFormat="false" ht="15" hidden="false" customHeight="true" outlineLevel="0" collapsed="false">
      <c r="A181" s="43" t="n">
        <v>45627</v>
      </c>
      <c r="B181" s="1" t="n">
        <v>2024</v>
      </c>
      <c r="C181" s="1" t="s">
        <v>77</v>
      </c>
      <c r="D181" s="1" t="s">
        <v>136</v>
      </c>
      <c r="E181" s="1" t="s">
        <v>91</v>
      </c>
      <c r="F181" s="1" t="s">
        <v>170</v>
      </c>
      <c r="G181" s="1" t="s">
        <v>164</v>
      </c>
      <c r="H181" s="1" t="s">
        <v>34</v>
      </c>
      <c r="I181" s="1" t="s">
        <v>101</v>
      </c>
      <c r="J181" s="1" t="s">
        <v>132</v>
      </c>
      <c r="K181" s="1" t="s">
        <v>103</v>
      </c>
      <c r="L181" s="1" t="n">
        <v>9</v>
      </c>
      <c r="M181" s="37" t="n">
        <v>98913</v>
      </c>
      <c r="N181" s="44" t="n">
        <v>0.12</v>
      </c>
      <c r="O181" s="1" t="n">
        <v>46263.9</v>
      </c>
      <c r="P181" s="37" t="n">
        <v>890217</v>
      </c>
      <c r="Q181" s="37" t="n">
        <v>783390.96</v>
      </c>
      <c r="R181" s="37" t="n">
        <v>367015.86</v>
      </c>
      <c r="S181" s="1" t="s">
        <v>111</v>
      </c>
    </row>
    <row r="182" customFormat="false" ht="15" hidden="false" customHeight="true" outlineLevel="0" collapsed="false">
      <c r="A182" s="43" t="n">
        <v>45303</v>
      </c>
      <c r="B182" s="1" t="n">
        <v>2024</v>
      </c>
      <c r="C182" s="1" t="s">
        <v>50</v>
      </c>
      <c r="D182" s="1" t="s">
        <v>90</v>
      </c>
      <c r="E182" s="1" t="s">
        <v>120</v>
      </c>
      <c r="F182" s="1" t="s">
        <v>99</v>
      </c>
      <c r="G182" s="1" t="s">
        <v>100</v>
      </c>
      <c r="H182" s="1" t="s">
        <v>35</v>
      </c>
      <c r="I182" s="1" t="s">
        <v>33</v>
      </c>
      <c r="J182" s="1" t="s">
        <v>132</v>
      </c>
      <c r="K182" s="1" t="s">
        <v>118</v>
      </c>
      <c r="L182" s="1" t="n">
        <v>80</v>
      </c>
      <c r="M182" s="37" t="n">
        <v>89360</v>
      </c>
      <c r="N182" s="44" t="n">
        <v>0.12</v>
      </c>
      <c r="O182" s="1" t="n">
        <v>42119.18</v>
      </c>
      <c r="P182" s="37" t="n">
        <v>7148800</v>
      </c>
      <c r="Q182" s="37" t="n">
        <v>6290944</v>
      </c>
      <c r="R182" s="37" t="n">
        <v>2921409.6</v>
      </c>
      <c r="S182" s="1" t="s">
        <v>119</v>
      </c>
    </row>
    <row r="183" customFormat="false" ht="15" hidden="false" customHeight="true" outlineLevel="0" collapsed="false">
      <c r="A183" s="43" t="n">
        <v>45348</v>
      </c>
      <c r="B183" s="1" t="n">
        <v>2024</v>
      </c>
      <c r="C183" s="1" t="s">
        <v>53</v>
      </c>
      <c r="D183" s="1" t="s">
        <v>90</v>
      </c>
      <c r="E183" s="1" t="s">
        <v>129</v>
      </c>
      <c r="F183" s="1" t="s">
        <v>188</v>
      </c>
      <c r="H183" s="1" t="s">
        <v>45</v>
      </c>
      <c r="I183" s="1" t="s">
        <v>155</v>
      </c>
      <c r="J183" s="1" t="s">
        <v>95</v>
      </c>
      <c r="K183" s="1" t="s">
        <v>118</v>
      </c>
      <c r="L183" s="1" t="n">
        <v>35</v>
      </c>
      <c r="M183" s="37" t="n">
        <v>102186</v>
      </c>
      <c r="N183" s="44"/>
      <c r="O183" s="1" t="n">
        <v>59874.2</v>
      </c>
      <c r="P183" s="37" t="n">
        <v>3576510</v>
      </c>
      <c r="Q183" s="37" t="n">
        <v>3576510</v>
      </c>
      <c r="R183" s="37" t="n">
        <v>1480913</v>
      </c>
      <c r="S183" s="1" t="s">
        <v>104</v>
      </c>
    </row>
    <row r="184" customFormat="false" ht="15" hidden="false" customHeight="true" outlineLevel="0" collapsed="false">
      <c r="A184" s="43" t="n">
        <v>45377</v>
      </c>
      <c r="B184" s="1" t="n">
        <v>2024</v>
      </c>
      <c r="C184" s="1" t="s">
        <v>56</v>
      </c>
      <c r="D184" s="1" t="s">
        <v>90</v>
      </c>
      <c r="E184" s="1" t="s">
        <v>98</v>
      </c>
      <c r="F184" s="1" t="s">
        <v>158</v>
      </c>
      <c r="G184" s="1" t="s">
        <v>208</v>
      </c>
      <c r="H184" s="1" t="s">
        <v>32</v>
      </c>
      <c r="I184" s="1" t="s">
        <v>33</v>
      </c>
      <c r="J184" s="1" t="s">
        <v>176</v>
      </c>
      <c r="K184" s="1" t="s">
        <v>96</v>
      </c>
      <c r="L184" s="1" t="n">
        <v>7</v>
      </c>
      <c r="M184" s="37" t="n">
        <v>75216</v>
      </c>
      <c r="N184" s="44" t="n">
        <v>0</v>
      </c>
      <c r="O184" s="1" t="n">
        <v>53961.27</v>
      </c>
      <c r="P184" s="37" t="n">
        <v>526512</v>
      </c>
      <c r="Q184" s="37" t="n">
        <v>526512</v>
      </c>
      <c r="R184" s="37" t="n">
        <v>148783.11</v>
      </c>
      <c r="S184" s="1" t="s">
        <v>104</v>
      </c>
    </row>
    <row r="185" customFormat="false" ht="15" hidden="false" customHeight="true" outlineLevel="0" collapsed="false">
      <c r="A185" s="43" t="n">
        <v>45390</v>
      </c>
      <c r="B185" s="1" t="n">
        <v>2024</v>
      </c>
      <c r="C185" s="1" t="s">
        <v>59</v>
      </c>
      <c r="D185" s="1" t="s">
        <v>112</v>
      </c>
      <c r="E185" s="1" t="s">
        <v>129</v>
      </c>
      <c r="F185" s="1" t="s">
        <v>130</v>
      </c>
      <c r="G185" s="1" t="s">
        <v>204</v>
      </c>
      <c r="H185" s="1" t="s">
        <v>35</v>
      </c>
      <c r="I185" s="1" t="s">
        <v>116</v>
      </c>
      <c r="J185" s="1" t="s">
        <v>132</v>
      </c>
      <c r="K185" s="1" t="s">
        <v>123</v>
      </c>
      <c r="L185" s="1" t="n">
        <v>23</v>
      </c>
      <c r="M185" s="37" t="n">
        <v>159746</v>
      </c>
      <c r="N185" s="44" t="n">
        <v>0.15</v>
      </c>
      <c r="O185" s="1" t="n">
        <v>118666.34</v>
      </c>
      <c r="P185" s="37" t="n">
        <v>3674158</v>
      </c>
      <c r="Q185" s="37" t="n">
        <v>3123034.3</v>
      </c>
      <c r="R185" s="37" t="n">
        <v>393708.48</v>
      </c>
      <c r="S185" s="1" t="s">
        <v>125</v>
      </c>
    </row>
    <row r="186" customFormat="false" ht="15" hidden="false" customHeight="true" outlineLevel="0" collapsed="false">
      <c r="A186" s="43" t="n">
        <v>45413</v>
      </c>
      <c r="B186" s="1" t="n">
        <v>2024</v>
      </c>
      <c r="C186" s="1" t="s">
        <v>62</v>
      </c>
      <c r="D186" s="1" t="s">
        <v>112</v>
      </c>
      <c r="E186" s="1" t="s">
        <v>129</v>
      </c>
      <c r="F186" s="1" t="s">
        <v>138</v>
      </c>
      <c r="G186" s="1" t="s">
        <v>174</v>
      </c>
      <c r="H186" s="1" t="s">
        <v>36</v>
      </c>
      <c r="I186" s="1" t="s">
        <v>101</v>
      </c>
      <c r="J186" s="1" t="s">
        <v>117</v>
      </c>
      <c r="K186" s="1" t="s">
        <v>110</v>
      </c>
      <c r="L186" s="1" t="n">
        <v>13</v>
      </c>
      <c r="M186" s="37" t="n">
        <v>101327</v>
      </c>
      <c r="N186" s="44"/>
      <c r="O186" s="1" t="n">
        <v>47709.27</v>
      </c>
      <c r="P186" s="37" t="n">
        <v>1317251</v>
      </c>
      <c r="Q186" s="37" t="n">
        <v>1317251</v>
      </c>
      <c r="R186" s="37" t="n">
        <v>697030.49</v>
      </c>
      <c r="S186" s="1" t="s">
        <v>104</v>
      </c>
    </row>
    <row r="187" customFormat="false" ht="15" hidden="false" customHeight="true" outlineLevel="0" collapsed="false">
      <c r="A187" s="43" t="n">
        <v>45455</v>
      </c>
      <c r="B187" s="1" t="n">
        <v>2024</v>
      </c>
      <c r="C187" s="1" t="s">
        <v>65</v>
      </c>
      <c r="D187" s="1" t="s">
        <v>112</v>
      </c>
      <c r="E187" s="1" t="s">
        <v>137</v>
      </c>
      <c r="F187" s="1" t="s">
        <v>92</v>
      </c>
      <c r="G187" s="1" t="s">
        <v>115</v>
      </c>
      <c r="H187" s="1" t="s">
        <v>34</v>
      </c>
      <c r="I187" s="1" t="s">
        <v>116</v>
      </c>
      <c r="J187" s="1" t="s">
        <v>132</v>
      </c>
      <c r="K187" s="1" t="s">
        <v>133</v>
      </c>
      <c r="L187" s="1" t="n">
        <v>20</v>
      </c>
      <c r="M187" s="37" t="n">
        <v>53288</v>
      </c>
      <c r="N187" s="44" t="n">
        <v>0.08</v>
      </c>
      <c r="O187" s="1" t="n">
        <v>38748.1</v>
      </c>
      <c r="P187" s="37" t="n">
        <v>1065760</v>
      </c>
      <c r="Q187" s="37" t="n">
        <v>980499.2</v>
      </c>
      <c r="R187" s="37" t="n">
        <v>205537.2</v>
      </c>
      <c r="S187" s="1" t="s">
        <v>125</v>
      </c>
    </row>
    <row r="188" customFormat="false" ht="15" hidden="false" customHeight="true" outlineLevel="0" collapsed="false">
      <c r="A188" s="43" t="n">
        <v>45481</v>
      </c>
      <c r="B188" s="1" t="n">
        <v>2024</v>
      </c>
      <c r="C188" s="1" t="s">
        <v>66</v>
      </c>
      <c r="D188" s="1" t="s">
        <v>126</v>
      </c>
      <c r="E188" s="1" t="s">
        <v>137</v>
      </c>
      <c r="F188" s="1" t="s">
        <v>160</v>
      </c>
      <c r="H188" s="1" t="s">
        <v>39</v>
      </c>
      <c r="I188" s="1" t="s">
        <v>38</v>
      </c>
      <c r="J188" s="1" t="s">
        <v>150</v>
      </c>
      <c r="K188" s="1" t="s">
        <v>133</v>
      </c>
      <c r="L188" s="1" t="n">
        <v>19</v>
      </c>
      <c r="M188" s="37" t="n">
        <v>12471</v>
      </c>
      <c r="N188" s="44" t="n">
        <v>0.08</v>
      </c>
      <c r="O188" s="1" t="n">
        <v>9325.38</v>
      </c>
      <c r="P188" s="37" t="n">
        <v>236949</v>
      </c>
      <c r="Q188" s="37" t="n">
        <v>217993.08</v>
      </c>
      <c r="R188" s="37" t="n">
        <v>40810.86</v>
      </c>
      <c r="S188" s="1" t="s">
        <v>111</v>
      </c>
    </row>
    <row r="189" customFormat="false" ht="15" hidden="false" customHeight="true" outlineLevel="0" collapsed="false">
      <c r="A189" s="43" t="n">
        <v>45523</v>
      </c>
      <c r="B189" s="1" t="n">
        <v>2024</v>
      </c>
      <c r="C189" s="1" t="s">
        <v>69</v>
      </c>
      <c r="D189" s="1" t="s">
        <v>126</v>
      </c>
      <c r="E189" s="1" t="s">
        <v>91</v>
      </c>
      <c r="F189" s="1" t="s">
        <v>138</v>
      </c>
      <c r="G189" s="1" t="s">
        <v>174</v>
      </c>
      <c r="H189" s="1" t="s">
        <v>45</v>
      </c>
      <c r="I189" s="1" t="s">
        <v>38</v>
      </c>
      <c r="J189" s="1" t="s">
        <v>95</v>
      </c>
      <c r="K189" s="1" t="s">
        <v>123</v>
      </c>
      <c r="L189" s="1" t="n">
        <v>5</v>
      </c>
      <c r="M189" s="37" t="n">
        <v>95759</v>
      </c>
      <c r="N189" s="44" t="n">
        <v>0.05</v>
      </c>
      <c r="O189" s="1" t="n">
        <v>70630.08</v>
      </c>
      <c r="P189" s="37" t="n">
        <v>478795</v>
      </c>
      <c r="Q189" s="37" t="n">
        <v>454855.25</v>
      </c>
      <c r="R189" s="37" t="n">
        <v>101704.85</v>
      </c>
      <c r="S189" s="1" t="s">
        <v>172</v>
      </c>
    </row>
    <row r="190" customFormat="false" ht="15" hidden="false" customHeight="true" outlineLevel="0" collapsed="false">
      <c r="A190" s="43" t="n">
        <v>45538</v>
      </c>
      <c r="B190" s="1" t="n">
        <v>2024</v>
      </c>
      <c r="C190" s="1" t="s">
        <v>72</v>
      </c>
      <c r="D190" s="1" t="s">
        <v>126</v>
      </c>
      <c r="E190" s="1" t="s">
        <v>113</v>
      </c>
      <c r="F190" s="1" t="s">
        <v>134</v>
      </c>
      <c r="G190" s="1" t="s">
        <v>209</v>
      </c>
      <c r="H190" s="1" t="s">
        <v>46</v>
      </c>
      <c r="I190" s="1" t="s">
        <v>116</v>
      </c>
      <c r="J190" s="1" t="s">
        <v>102</v>
      </c>
      <c r="K190" s="1" t="s">
        <v>146</v>
      </c>
      <c r="L190" s="1" t="n">
        <v>25</v>
      </c>
      <c r="M190" s="37" t="n">
        <v>122009</v>
      </c>
      <c r="N190" s="44" t="n">
        <v>0.08</v>
      </c>
      <c r="O190" s="1" t="n">
        <v>75960.2</v>
      </c>
      <c r="P190" s="37" t="n">
        <v>3050225</v>
      </c>
      <c r="Q190" s="37" t="n">
        <v>2806207</v>
      </c>
      <c r="R190" s="37" t="n">
        <v>907202</v>
      </c>
      <c r="S190" s="1" t="s">
        <v>125</v>
      </c>
    </row>
    <row r="191" customFormat="false" ht="15" hidden="false" customHeight="true" outlineLevel="0" collapsed="false">
      <c r="A191" s="43" t="n">
        <v>45590</v>
      </c>
      <c r="B191" s="1" t="n">
        <v>2024</v>
      </c>
      <c r="C191" s="1" t="s">
        <v>75</v>
      </c>
      <c r="D191" s="1" t="s">
        <v>136</v>
      </c>
      <c r="E191" s="1" t="s">
        <v>137</v>
      </c>
      <c r="F191" s="1" t="s">
        <v>151</v>
      </c>
      <c r="G191" s="1" t="s">
        <v>195</v>
      </c>
      <c r="H191" s="1" t="s">
        <v>45</v>
      </c>
      <c r="I191" s="1" t="s">
        <v>38</v>
      </c>
      <c r="J191" s="1" t="s">
        <v>95</v>
      </c>
      <c r="K191" s="1" t="s">
        <v>146</v>
      </c>
      <c r="L191" s="1" t="n">
        <v>3</v>
      </c>
      <c r="M191" s="37" t="n">
        <v>95549</v>
      </c>
      <c r="N191" s="44" t="n">
        <v>0.05</v>
      </c>
      <c r="O191" s="1" t="n">
        <v>45478.47</v>
      </c>
      <c r="P191" s="37" t="n">
        <v>286647</v>
      </c>
      <c r="Q191" s="37" t="n">
        <v>272314.65</v>
      </c>
      <c r="R191" s="37" t="n">
        <v>135879.24</v>
      </c>
      <c r="S191" s="1" t="s">
        <v>104</v>
      </c>
    </row>
    <row r="192" customFormat="false" ht="15" hidden="false" customHeight="true" outlineLevel="0" collapsed="false">
      <c r="A192" s="43" t="n">
        <v>45616</v>
      </c>
      <c r="B192" s="1" t="n">
        <v>2024</v>
      </c>
      <c r="C192" s="1" t="s">
        <v>76</v>
      </c>
      <c r="D192" s="1" t="s">
        <v>136</v>
      </c>
      <c r="E192" s="1" t="s">
        <v>129</v>
      </c>
      <c r="F192" s="1" t="s">
        <v>138</v>
      </c>
      <c r="G192" s="1" t="s">
        <v>189</v>
      </c>
      <c r="H192" s="1" t="s">
        <v>39</v>
      </c>
      <c r="I192" s="1" t="s">
        <v>94</v>
      </c>
      <c r="J192" s="1" t="s">
        <v>150</v>
      </c>
      <c r="K192" s="1" t="s">
        <v>123</v>
      </c>
      <c r="L192" s="1" t="n">
        <v>11</v>
      </c>
      <c r="M192" s="37" t="n">
        <v>125823</v>
      </c>
      <c r="N192" s="44" t="n">
        <v>0.05</v>
      </c>
      <c r="O192" s="1" t="n">
        <v>71201.11</v>
      </c>
      <c r="P192" s="37" t="n">
        <v>1384053</v>
      </c>
      <c r="Q192" s="37" t="n">
        <v>1314850.35</v>
      </c>
      <c r="R192" s="37" t="n">
        <v>531638.14</v>
      </c>
      <c r="S192" s="1" t="s">
        <v>104</v>
      </c>
    </row>
    <row r="193" customFormat="false" ht="15" hidden="false" customHeight="true" outlineLevel="0" collapsed="false">
      <c r="A193" s="43" t="n">
        <v>45636</v>
      </c>
      <c r="B193" s="1" t="n">
        <v>2024</v>
      </c>
      <c r="C193" s="1" t="s">
        <v>77</v>
      </c>
      <c r="D193" s="1" t="s">
        <v>136</v>
      </c>
      <c r="E193" s="1" t="s">
        <v>120</v>
      </c>
      <c r="F193" s="1" t="s">
        <v>114</v>
      </c>
      <c r="G193" s="1" t="s">
        <v>124</v>
      </c>
      <c r="H193" s="1" t="s">
        <v>37</v>
      </c>
      <c r="I193" s="1" t="s">
        <v>38</v>
      </c>
      <c r="J193" s="1" t="s">
        <v>150</v>
      </c>
      <c r="K193" s="1" t="s">
        <v>110</v>
      </c>
      <c r="L193" s="1" t="n">
        <v>36</v>
      </c>
      <c r="M193" s="37" t="n">
        <v>52262</v>
      </c>
      <c r="N193" s="44" t="n">
        <v>0</v>
      </c>
      <c r="O193" s="1" t="n">
        <v>31339.54</v>
      </c>
      <c r="P193" s="37" t="n">
        <v>1881432</v>
      </c>
      <c r="Q193" s="37" t="n">
        <v>1881432</v>
      </c>
      <c r="R193" s="37" t="n">
        <v>753208.56</v>
      </c>
      <c r="S193" s="1" t="s">
        <v>119</v>
      </c>
    </row>
    <row r="194" customFormat="false" ht="15" hidden="false" customHeight="true" outlineLevel="0" collapsed="false">
      <c r="A194" s="43" t="n">
        <v>45312</v>
      </c>
      <c r="B194" s="1" t="n">
        <v>2024</v>
      </c>
      <c r="C194" s="1" t="s">
        <v>50</v>
      </c>
      <c r="D194" s="1" t="s">
        <v>90</v>
      </c>
      <c r="E194" s="1" t="s">
        <v>113</v>
      </c>
      <c r="F194" s="1" t="s">
        <v>188</v>
      </c>
      <c r="G194" s="1" t="s">
        <v>131</v>
      </c>
      <c r="H194" s="1" t="s">
        <v>35</v>
      </c>
      <c r="I194" s="1" t="s">
        <v>33</v>
      </c>
      <c r="J194" s="1" t="s">
        <v>132</v>
      </c>
      <c r="K194" s="1" t="s">
        <v>133</v>
      </c>
      <c r="L194" s="1" t="n">
        <v>26</v>
      </c>
      <c r="M194" s="37" t="n">
        <v>81469</v>
      </c>
      <c r="N194" s="44" t="n">
        <v>0.08</v>
      </c>
      <c r="O194" s="1" t="n">
        <v>41932.78</v>
      </c>
      <c r="P194" s="37" t="n">
        <v>2118194</v>
      </c>
      <c r="Q194" s="37" t="n">
        <v>1948738.48</v>
      </c>
      <c r="R194" s="37" t="n">
        <v>858486.2</v>
      </c>
      <c r="S194" s="1" t="s">
        <v>125</v>
      </c>
    </row>
    <row r="195" customFormat="false" ht="15" hidden="false" customHeight="true" outlineLevel="0" collapsed="false">
      <c r="A195" s="43" t="n">
        <v>45341</v>
      </c>
      <c r="B195" s="1" t="n">
        <v>2024</v>
      </c>
      <c r="C195" s="1" t="s">
        <v>53</v>
      </c>
      <c r="D195" s="1" t="s">
        <v>90</v>
      </c>
      <c r="E195" s="1" t="s">
        <v>91</v>
      </c>
      <c r="F195" s="1" t="s">
        <v>170</v>
      </c>
      <c r="G195" s="1" t="s">
        <v>115</v>
      </c>
      <c r="H195" s="1" t="s">
        <v>37</v>
      </c>
      <c r="I195" s="1" t="s">
        <v>155</v>
      </c>
      <c r="J195" s="1" t="s">
        <v>150</v>
      </c>
      <c r="K195" s="1" t="s">
        <v>146</v>
      </c>
      <c r="L195" s="1" t="n">
        <v>23</v>
      </c>
      <c r="M195" s="37" t="n">
        <v>120524</v>
      </c>
      <c r="N195" s="44" t="n">
        <v>0.15</v>
      </c>
      <c r="O195" s="1" t="n">
        <v>77588.61</v>
      </c>
      <c r="P195" s="37" t="n">
        <v>2772052</v>
      </c>
      <c r="Q195" s="37" t="n">
        <v>2356244.2</v>
      </c>
      <c r="R195" s="37" t="n">
        <v>571706.17</v>
      </c>
      <c r="S195" s="1" t="s">
        <v>125</v>
      </c>
    </row>
    <row r="196" customFormat="false" ht="15" hidden="false" customHeight="true" outlineLevel="0" collapsed="false">
      <c r="A196" s="43" t="n">
        <v>45359</v>
      </c>
      <c r="B196" s="1" t="n">
        <v>2024</v>
      </c>
      <c r="C196" s="1" t="s">
        <v>56</v>
      </c>
      <c r="D196" s="1" t="s">
        <v>90</v>
      </c>
      <c r="E196" s="1" t="s">
        <v>98</v>
      </c>
      <c r="F196" s="1" t="s">
        <v>134</v>
      </c>
      <c r="G196" s="1" t="s">
        <v>124</v>
      </c>
      <c r="H196" s="1" t="s">
        <v>44</v>
      </c>
      <c r="I196" s="1" t="s">
        <v>41</v>
      </c>
      <c r="J196" s="1" t="s">
        <v>109</v>
      </c>
      <c r="K196" s="1" t="s">
        <v>103</v>
      </c>
      <c r="L196" s="1" t="n">
        <v>3</v>
      </c>
      <c r="M196" s="37" t="n">
        <v>147480</v>
      </c>
      <c r="N196" s="44" t="n">
        <v>0.1</v>
      </c>
      <c r="O196" s="1" t="n">
        <v>72574.71</v>
      </c>
      <c r="P196" s="37" t="n">
        <v>442440</v>
      </c>
      <c r="Q196" s="37" t="n">
        <v>398196</v>
      </c>
      <c r="R196" s="37" t="n">
        <v>180471.87</v>
      </c>
      <c r="S196" s="1" t="s">
        <v>125</v>
      </c>
    </row>
    <row r="197" customFormat="false" ht="15" hidden="false" customHeight="true" outlineLevel="0" collapsed="false">
      <c r="A197" s="43" t="n">
        <v>45396</v>
      </c>
      <c r="B197" s="1" t="n">
        <v>2024</v>
      </c>
      <c r="C197" s="1" t="s">
        <v>59</v>
      </c>
      <c r="D197" s="1" t="s">
        <v>112</v>
      </c>
      <c r="E197" s="1" t="s">
        <v>91</v>
      </c>
      <c r="F197" s="1" t="s">
        <v>92</v>
      </c>
      <c r="G197" s="1" t="s">
        <v>202</v>
      </c>
      <c r="H197" s="1" t="s">
        <v>32</v>
      </c>
      <c r="I197" s="1" t="s">
        <v>33</v>
      </c>
      <c r="J197" s="1" t="s">
        <v>176</v>
      </c>
      <c r="K197" s="1" t="s">
        <v>103</v>
      </c>
      <c r="L197" s="1" t="n">
        <v>10</v>
      </c>
      <c r="M197" s="37" t="n">
        <v>79603</v>
      </c>
      <c r="N197" s="44" t="n">
        <v>0.05</v>
      </c>
      <c r="O197" s="1" t="n">
        <v>38246.03</v>
      </c>
      <c r="P197" s="37" t="n">
        <v>796030</v>
      </c>
      <c r="Q197" s="37" t="n">
        <v>756228.5</v>
      </c>
      <c r="R197" s="37" t="n">
        <v>373768.2</v>
      </c>
      <c r="S197" s="1" t="s">
        <v>111</v>
      </c>
    </row>
    <row r="198" customFormat="false" ht="15" hidden="false" customHeight="true" outlineLevel="0" collapsed="false">
      <c r="A198" s="43" t="n">
        <v>45432</v>
      </c>
      <c r="B198" s="1" t="n">
        <v>2024</v>
      </c>
      <c r="C198" s="1" t="s">
        <v>62</v>
      </c>
      <c r="D198" s="1" t="s">
        <v>112</v>
      </c>
      <c r="E198" s="1" t="s">
        <v>129</v>
      </c>
      <c r="F198" s="1" t="s">
        <v>158</v>
      </c>
      <c r="G198" s="1" t="s">
        <v>131</v>
      </c>
      <c r="H198" s="1" t="s">
        <v>46</v>
      </c>
      <c r="I198" s="1" t="s">
        <v>101</v>
      </c>
      <c r="J198" s="1" t="s">
        <v>102</v>
      </c>
      <c r="K198" s="1" t="s">
        <v>118</v>
      </c>
      <c r="L198" s="1" t="n">
        <v>10</v>
      </c>
      <c r="M198" s="37" t="n">
        <v>166123</v>
      </c>
      <c r="N198" s="44" t="n">
        <v>0.05</v>
      </c>
      <c r="O198" s="1" t="n">
        <v>128533.49</v>
      </c>
      <c r="P198" s="37" t="n">
        <v>1661230</v>
      </c>
      <c r="Q198" s="37" t="n">
        <v>1578168.5</v>
      </c>
      <c r="R198" s="37" t="n">
        <v>292833.6</v>
      </c>
      <c r="S198" s="1" t="s">
        <v>111</v>
      </c>
    </row>
    <row r="199" customFormat="false" ht="15" hidden="false" customHeight="true" outlineLevel="0" collapsed="false">
      <c r="A199" s="43" t="n">
        <v>45456</v>
      </c>
      <c r="B199" s="1" t="n">
        <v>2024</v>
      </c>
      <c r="C199" s="1" t="s">
        <v>65</v>
      </c>
      <c r="D199" s="1" t="s">
        <v>112</v>
      </c>
      <c r="E199" s="1" t="s">
        <v>137</v>
      </c>
      <c r="F199" s="1" t="s">
        <v>121</v>
      </c>
      <c r="G199" s="1" t="s">
        <v>194</v>
      </c>
      <c r="H199" s="1" t="s">
        <v>37</v>
      </c>
      <c r="I199" s="1" t="s">
        <v>155</v>
      </c>
      <c r="J199" s="1" t="s">
        <v>150</v>
      </c>
      <c r="K199" s="1" t="s">
        <v>96</v>
      </c>
      <c r="L199" s="1" t="n">
        <v>18</v>
      </c>
      <c r="M199" s="37" t="n">
        <v>174069</v>
      </c>
      <c r="N199" s="44" t="n">
        <v>0.08</v>
      </c>
      <c r="O199" s="1" t="n">
        <v>80693.84</v>
      </c>
      <c r="P199" s="37" t="n">
        <v>3133242</v>
      </c>
      <c r="Q199" s="37" t="n">
        <v>2882582.64</v>
      </c>
      <c r="R199" s="37" t="n">
        <v>1430093.52</v>
      </c>
      <c r="S199" s="1" t="s">
        <v>119</v>
      </c>
    </row>
    <row r="200" customFormat="false" ht="15" hidden="false" customHeight="true" outlineLevel="0" collapsed="false">
      <c r="A200" s="43" t="n">
        <v>45484</v>
      </c>
      <c r="B200" s="1" t="n">
        <v>2024</v>
      </c>
      <c r="C200" s="1" t="s">
        <v>66</v>
      </c>
      <c r="D200" s="1" t="s">
        <v>126</v>
      </c>
      <c r="E200" s="1" t="s">
        <v>105</v>
      </c>
      <c r="F200" s="1" t="s">
        <v>130</v>
      </c>
      <c r="G200" s="1" t="s">
        <v>100</v>
      </c>
      <c r="H200" s="1" t="s">
        <v>32</v>
      </c>
      <c r="I200" s="1" t="s">
        <v>116</v>
      </c>
      <c r="J200" s="1" t="s">
        <v>176</v>
      </c>
      <c r="K200" s="1" t="s">
        <v>103</v>
      </c>
      <c r="L200" s="1" t="n">
        <v>32</v>
      </c>
      <c r="M200" s="37" t="n">
        <v>37747</v>
      </c>
      <c r="N200" s="44" t="n">
        <v>0.15</v>
      </c>
      <c r="O200" s="1" t="n">
        <v>18761.58</v>
      </c>
      <c r="P200" s="37" t="n">
        <v>1207904</v>
      </c>
      <c r="Q200" s="37" t="n">
        <v>1026718.4</v>
      </c>
      <c r="R200" s="37" t="n">
        <v>426347.84</v>
      </c>
      <c r="S200" s="1" t="s">
        <v>172</v>
      </c>
    </row>
    <row r="201" customFormat="false" ht="15" hidden="false" customHeight="true" outlineLevel="0" collapsed="false">
      <c r="A201" s="43" t="n">
        <v>45511</v>
      </c>
      <c r="B201" s="1" t="n">
        <v>2024</v>
      </c>
      <c r="C201" s="1" t="s">
        <v>69</v>
      </c>
      <c r="D201" s="1" t="s">
        <v>126</v>
      </c>
      <c r="E201" s="1" t="s">
        <v>98</v>
      </c>
      <c r="F201" s="1" t="s">
        <v>99</v>
      </c>
      <c r="G201" s="1" t="s">
        <v>149</v>
      </c>
      <c r="H201" s="1" t="s">
        <v>34</v>
      </c>
      <c r="I201" s="1" t="s">
        <v>33</v>
      </c>
      <c r="J201" s="1" t="s">
        <v>132</v>
      </c>
      <c r="K201" s="1" t="s">
        <v>103</v>
      </c>
      <c r="L201" s="1" t="n">
        <v>34</v>
      </c>
      <c r="M201" s="37" t="n">
        <v>26734</v>
      </c>
      <c r="N201" s="44" t="n">
        <v>0.1</v>
      </c>
      <c r="O201" s="1" t="n">
        <v>12644.27</v>
      </c>
      <c r="P201" s="37" t="n">
        <v>908956</v>
      </c>
      <c r="Q201" s="37" t="n">
        <v>818060.4</v>
      </c>
      <c r="R201" s="37" t="n">
        <v>388155.22</v>
      </c>
      <c r="S201" s="1" t="s">
        <v>172</v>
      </c>
    </row>
    <row r="202" customFormat="false" ht="15" hidden="false" customHeight="true" outlineLevel="0" collapsed="false">
      <c r="A202" s="43" t="n">
        <v>45542</v>
      </c>
      <c r="B202" s="1" t="n">
        <v>2024</v>
      </c>
      <c r="C202" s="1" t="s">
        <v>72</v>
      </c>
      <c r="D202" s="1" t="s">
        <v>126</v>
      </c>
      <c r="E202" s="1" t="s">
        <v>105</v>
      </c>
      <c r="F202" s="1" t="s">
        <v>151</v>
      </c>
      <c r="G202" s="1" t="s">
        <v>93</v>
      </c>
      <c r="H202" s="1" t="s">
        <v>35</v>
      </c>
      <c r="I202" s="1" t="s">
        <v>101</v>
      </c>
      <c r="J202" s="1" t="s">
        <v>132</v>
      </c>
      <c r="K202" s="1" t="s">
        <v>146</v>
      </c>
      <c r="L202" s="1" t="n">
        <v>30</v>
      </c>
      <c r="M202" s="37" t="n">
        <v>106470</v>
      </c>
      <c r="N202" s="44" t="n">
        <v>0.2</v>
      </c>
      <c r="O202" s="1" t="n">
        <v>61637.95</v>
      </c>
      <c r="P202" s="37" t="n">
        <v>3194100</v>
      </c>
      <c r="Q202" s="37" t="n">
        <v>2555280</v>
      </c>
      <c r="R202" s="37" t="n">
        <v>706141.5</v>
      </c>
      <c r="S202" s="1" t="s">
        <v>125</v>
      </c>
    </row>
    <row r="203" customFormat="false" ht="15" hidden="false" customHeight="true" outlineLevel="0" collapsed="false">
      <c r="A203" s="43" t="n">
        <v>45585</v>
      </c>
      <c r="B203" s="1" t="n">
        <v>2024</v>
      </c>
      <c r="C203" s="1" t="s">
        <v>75</v>
      </c>
      <c r="D203" s="1" t="s">
        <v>136</v>
      </c>
      <c r="E203" s="1" t="s">
        <v>98</v>
      </c>
      <c r="F203" s="1" t="s">
        <v>99</v>
      </c>
      <c r="G203" s="1" t="s">
        <v>198</v>
      </c>
      <c r="H203" s="1" t="s">
        <v>42</v>
      </c>
      <c r="I203" s="1" t="s">
        <v>33</v>
      </c>
      <c r="J203" s="1" t="s">
        <v>128</v>
      </c>
      <c r="K203" s="1" t="s">
        <v>133</v>
      </c>
      <c r="L203" s="1" t="n">
        <v>11</v>
      </c>
      <c r="M203" s="37" t="n">
        <v>79806</v>
      </c>
      <c r="N203" s="44" t="n">
        <v>0.05</v>
      </c>
      <c r="O203" s="1" t="n">
        <v>43875.29</v>
      </c>
      <c r="P203" s="37" t="n">
        <v>877866</v>
      </c>
      <c r="Q203" s="37" t="n">
        <v>833972.7</v>
      </c>
      <c r="R203" s="37" t="n">
        <v>351344.51</v>
      </c>
      <c r="S203" s="1" t="s">
        <v>125</v>
      </c>
    </row>
    <row r="204" customFormat="false" ht="15" hidden="false" customHeight="true" outlineLevel="0" collapsed="false">
      <c r="A204" s="43" t="n">
        <v>45604</v>
      </c>
      <c r="B204" s="1" t="n">
        <v>2024</v>
      </c>
      <c r="C204" s="1" t="s">
        <v>76</v>
      </c>
      <c r="D204" s="1" t="s">
        <v>136</v>
      </c>
      <c r="E204" s="1" t="s">
        <v>137</v>
      </c>
      <c r="F204" s="1" t="s">
        <v>99</v>
      </c>
      <c r="G204" s="1" t="s">
        <v>201</v>
      </c>
      <c r="H204" s="1" t="s">
        <v>45</v>
      </c>
      <c r="I204" s="1" t="s">
        <v>94</v>
      </c>
      <c r="J204" s="1" t="s">
        <v>95</v>
      </c>
      <c r="K204" s="1" t="s">
        <v>110</v>
      </c>
      <c r="L204" s="1" t="n">
        <v>2</v>
      </c>
      <c r="M204" s="37" t="n">
        <v>14332</v>
      </c>
      <c r="N204" s="44" t="n">
        <v>0.1</v>
      </c>
      <c r="O204" s="1" t="n">
        <v>9696.75</v>
      </c>
      <c r="P204" s="37" t="n">
        <v>28664</v>
      </c>
      <c r="Q204" s="37" t="n">
        <v>25797.6</v>
      </c>
      <c r="R204" s="37" t="n">
        <v>6404.1</v>
      </c>
      <c r="S204" s="1" t="s">
        <v>111</v>
      </c>
    </row>
    <row r="205" customFormat="false" ht="15" hidden="false" customHeight="true" outlineLevel="0" collapsed="false">
      <c r="A205" s="43" t="n">
        <v>45647</v>
      </c>
      <c r="B205" s="1" t="n">
        <v>2024</v>
      </c>
      <c r="C205" s="1" t="s">
        <v>77</v>
      </c>
      <c r="D205" s="1" t="s">
        <v>136</v>
      </c>
      <c r="E205" s="1" t="s">
        <v>113</v>
      </c>
      <c r="F205" s="1" t="s">
        <v>121</v>
      </c>
      <c r="G205" s="1" t="s">
        <v>198</v>
      </c>
      <c r="H205" s="1" t="s">
        <v>46</v>
      </c>
      <c r="I205" s="1" t="s">
        <v>116</v>
      </c>
      <c r="J205" s="1" t="s">
        <v>102</v>
      </c>
      <c r="K205" s="1" t="s">
        <v>118</v>
      </c>
      <c r="L205" s="1" t="n">
        <v>17</v>
      </c>
      <c r="M205" s="37" t="n">
        <v>91205</v>
      </c>
      <c r="N205" s="44" t="n">
        <v>0.08</v>
      </c>
      <c r="O205" s="1" t="n">
        <v>59700.1</v>
      </c>
      <c r="P205" s="37" t="n">
        <v>1550485</v>
      </c>
      <c r="Q205" s="37" t="n">
        <v>1426446.2</v>
      </c>
      <c r="R205" s="37" t="n">
        <v>411544.5</v>
      </c>
      <c r="S205" s="1" t="s">
        <v>97</v>
      </c>
    </row>
    <row r="206" customFormat="false" ht="15" hidden="false" customHeight="true" outlineLevel="0" collapsed="false">
      <c r="A206" s="43" t="n">
        <v>45311</v>
      </c>
      <c r="B206" s="1" t="n">
        <v>2024</v>
      </c>
      <c r="C206" s="1" t="s">
        <v>50</v>
      </c>
      <c r="D206" s="1" t="s">
        <v>90</v>
      </c>
      <c r="E206" s="1" t="s">
        <v>113</v>
      </c>
      <c r="F206" s="1" t="s">
        <v>134</v>
      </c>
      <c r="G206" s="1" t="s">
        <v>179</v>
      </c>
      <c r="H206" s="1" t="s">
        <v>44</v>
      </c>
      <c r="I206" s="1" t="s">
        <v>41</v>
      </c>
      <c r="J206" s="1" t="s">
        <v>109</v>
      </c>
      <c r="K206" s="1" t="s">
        <v>146</v>
      </c>
      <c r="L206" s="1" t="n">
        <v>22</v>
      </c>
      <c r="M206" s="37" t="n">
        <v>179928</v>
      </c>
      <c r="N206" s="44" t="n">
        <v>0.2</v>
      </c>
      <c r="O206" s="1" t="n">
        <v>97413.27</v>
      </c>
      <c r="P206" s="37" t="n">
        <v>3958416</v>
      </c>
      <c r="Q206" s="37" t="n">
        <v>3166732.8</v>
      </c>
      <c r="R206" s="37" t="n">
        <v>1023640.86</v>
      </c>
      <c r="S206" s="1" t="s">
        <v>172</v>
      </c>
    </row>
    <row r="207" customFormat="false" ht="15" hidden="false" customHeight="true" outlineLevel="0" collapsed="false">
      <c r="A207" s="43" t="n">
        <v>45348</v>
      </c>
      <c r="B207" s="1" t="n">
        <v>2024</v>
      </c>
      <c r="C207" s="1" t="s">
        <v>53</v>
      </c>
      <c r="D207" s="1" t="s">
        <v>90</v>
      </c>
      <c r="E207" s="1" t="s">
        <v>105</v>
      </c>
      <c r="F207" s="1" t="s">
        <v>158</v>
      </c>
      <c r="G207" s="1" t="s">
        <v>199</v>
      </c>
      <c r="H207" s="1" t="s">
        <v>32</v>
      </c>
      <c r="I207" s="1" t="s">
        <v>33</v>
      </c>
      <c r="J207" s="1" t="s">
        <v>176</v>
      </c>
      <c r="K207" s="1" t="s">
        <v>123</v>
      </c>
      <c r="L207" s="1" t="n">
        <v>9</v>
      </c>
      <c r="M207" s="37" t="n">
        <v>142383</v>
      </c>
      <c r="N207" s="44" t="n">
        <v>0.2</v>
      </c>
      <c r="O207" s="1" t="n">
        <v>109267.43</v>
      </c>
      <c r="P207" s="37" t="n">
        <v>1281447</v>
      </c>
      <c r="Q207" s="37" t="n">
        <v>1025157.6</v>
      </c>
      <c r="R207" s="37" t="n">
        <v>41750.73</v>
      </c>
      <c r="S207" s="1" t="s">
        <v>125</v>
      </c>
    </row>
    <row r="208" customFormat="false" ht="15" hidden="false" customHeight="true" outlineLevel="0" collapsed="false">
      <c r="A208" s="43" t="n">
        <v>45375</v>
      </c>
      <c r="B208" s="1" t="n">
        <v>2024</v>
      </c>
      <c r="C208" s="1" t="s">
        <v>56</v>
      </c>
      <c r="D208" s="1" t="s">
        <v>90</v>
      </c>
      <c r="E208" s="1" t="s">
        <v>137</v>
      </c>
      <c r="F208" s="1" t="s">
        <v>170</v>
      </c>
      <c r="G208" s="1" t="s">
        <v>139</v>
      </c>
      <c r="H208" s="1" t="s">
        <v>39</v>
      </c>
      <c r="I208" s="1" t="s">
        <v>94</v>
      </c>
      <c r="J208" s="1" t="s">
        <v>150</v>
      </c>
      <c r="K208" s="1" t="s">
        <v>123</v>
      </c>
      <c r="L208" s="1" t="n">
        <v>31</v>
      </c>
      <c r="M208" s="37" t="n">
        <v>105977</v>
      </c>
      <c r="N208" s="44" t="n">
        <v>0.1</v>
      </c>
      <c r="O208" s="1" t="n">
        <v>78870.58</v>
      </c>
      <c r="P208" s="37" t="n">
        <v>3285287</v>
      </c>
      <c r="Q208" s="37" t="n">
        <v>2956758.3</v>
      </c>
      <c r="R208" s="37" t="n">
        <v>511770.32</v>
      </c>
      <c r="S208" s="1" t="s">
        <v>111</v>
      </c>
    </row>
    <row r="209" customFormat="false" ht="15" hidden="false" customHeight="true" outlineLevel="0" collapsed="false">
      <c r="A209" s="43" t="n">
        <v>45404</v>
      </c>
      <c r="B209" s="1" t="n">
        <v>2024</v>
      </c>
      <c r="C209" s="1" t="s">
        <v>59</v>
      </c>
      <c r="D209" s="1" t="s">
        <v>112</v>
      </c>
      <c r="E209" s="1" t="s">
        <v>113</v>
      </c>
      <c r="F209" s="1" t="s">
        <v>143</v>
      </c>
      <c r="G209" s="1" t="s">
        <v>191</v>
      </c>
      <c r="H209" s="1" t="s">
        <v>35</v>
      </c>
      <c r="I209" s="1" t="s">
        <v>116</v>
      </c>
      <c r="J209" s="1" t="s">
        <v>132</v>
      </c>
      <c r="K209" s="1" t="s">
        <v>133</v>
      </c>
      <c r="L209" s="1" t="n">
        <v>15</v>
      </c>
      <c r="M209" s="37" t="n">
        <v>92500</v>
      </c>
      <c r="N209" s="44"/>
      <c r="O209" s="1" t="n">
        <v>53658.22</v>
      </c>
      <c r="P209" s="37" t="n">
        <v>1387500</v>
      </c>
      <c r="Q209" s="37" t="n">
        <v>1387500</v>
      </c>
      <c r="R209" s="37" t="n">
        <v>582626.7</v>
      </c>
      <c r="S209" s="1" t="s">
        <v>111</v>
      </c>
    </row>
    <row r="210" customFormat="false" ht="15" hidden="false" customHeight="true" outlineLevel="0" collapsed="false">
      <c r="A210" s="43" t="n">
        <v>45432</v>
      </c>
      <c r="B210" s="1" t="n">
        <v>2024</v>
      </c>
      <c r="C210" s="1" t="s">
        <v>62</v>
      </c>
      <c r="D210" s="1" t="s">
        <v>112</v>
      </c>
      <c r="E210" s="1" t="s">
        <v>91</v>
      </c>
      <c r="F210" s="1" t="s">
        <v>138</v>
      </c>
      <c r="G210" s="1" t="s">
        <v>205</v>
      </c>
      <c r="H210" s="1" t="s">
        <v>44</v>
      </c>
      <c r="I210" s="1" t="s">
        <v>41</v>
      </c>
      <c r="J210" s="1" t="s">
        <v>109</v>
      </c>
      <c r="K210" s="1" t="s">
        <v>146</v>
      </c>
      <c r="L210" s="1" t="n">
        <v>25</v>
      </c>
      <c r="M210" s="37" t="n">
        <v>120293</v>
      </c>
      <c r="N210" s="44" t="n">
        <v>0.1</v>
      </c>
      <c r="O210" s="1" t="n">
        <v>59915.28</v>
      </c>
      <c r="P210" s="37" t="n">
        <v>3007325</v>
      </c>
      <c r="Q210" s="37" t="n">
        <v>2706592.5</v>
      </c>
      <c r="R210" s="37" t="n">
        <v>1208710.5</v>
      </c>
      <c r="S210" s="1" t="s">
        <v>104</v>
      </c>
    </row>
    <row r="211" customFormat="false" ht="15" hidden="false" customHeight="true" outlineLevel="0" collapsed="false">
      <c r="A211" s="43" t="n">
        <v>45471</v>
      </c>
      <c r="B211" s="1" t="n">
        <v>2024</v>
      </c>
      <c r="C211" s="1" t="s">
        <v>65</v>
      </c>
      <c r="D211" s="1" t="s">
        <v>112</v>
      </c>
      <c r="E211" s="1" t="s">
        <v>137</v>
      </c>
      <c r="F211" s="1" t="s">
        <v>151</v>
      </c>
      <c r="G211" s="1" t="s">
        <v>149</v>
      </c>
      <c r="H211" s="1" t="s">
        <v>39</v>
      </c>
      <c r="I211" s="1" t="s">
        <v>38</v>
      </c>
      <c r="J211" s="1" t="s">
        <v>150</v>
      </c>
      <c r="K211" s="1" t="s">
        <v>133</v>
      </c>
      <c r="L211" s="1" t="n">
        <v>12</v>
      </c>
      <c r="M211" s="37" t="n">
        <v>108828</v>
      </c>
      <c r="N211" s="44" t="n">
        <v>0.2</v>
      </c>
      <c r="O211" s="1" t="n">
        <v>56947.93</v>
      </c>
      <c r="P211" s="37" t="n">
        <v>1305936</v>
      </c>
      <c r="Q211" s="37" t="n">
        <v>1044748.8</v>
      </c>
      <c r="R211" s="37" t="n">
        <v>361373.64</v>
      </c>
      <c r="S211" s="1" t="s">
        <v>104</v>
      </c>
    </row>
    <row r="212" customFormat="false" ht="15" hidden="false" customHeight="true" outlineLevel="0" collapsed="false">
      <c r="A212" s="43" t="n">
        <v>45487</v>
      </c>
      <c r="B212" s="1" t="n">
        <v>2024</v>
      </c>
      <c r="C212" s="1" t="s">
        <v>66</v>
      </c>
      <c r="D212" s="1" t="s">
        <v>126</v>
      </c>
      <c r="E212" s="1" t="s">
        <v>137</v>
      </c>
      <c r="F212" s="1" t="s">
        <v>121</v>
      </c>
      <c r="G212" s="1" t="s">
        <v>167</v>
      </c>
      <c r="H212" s="1" t="s">
        <v>44</v>
      </c>
      <c r="I212" s="1" t="s">
        <v>108</v>
      </c>
      <c r="J212" s="1" t="s">
        <v>109</v>
      </c>
      <c r="K212" s="1" t="s">
        <v>118</v>
      </c>
      <c r="L212" s="1" t="n">
        <v>200</v>
      </c>
      <c r="M212" s="37" t="n">
        <v>109806</v>
      </c>
      <c r="N212" s="44"/>
      <c r="O212" s="1" t="n">
        <v>78499.95</v>
      </c>
      <c r="P212" s="37" t="n">
        <v>21961200</v>
      </c>
      <c r="Q212" s="37" t="n">
        <v>21961200</v>
      </c>
      <c r="R212" s="37" t="n">
        <v>6261210</v>
      </c>
      <c r="S212" s="1" t="s">
        <v>111</v>
      </c>
    </row>
    <row r="213" customFormat="false" ht="15" hidden="false" customHeight="true" outlineLevel="0" collapsed="false">
      <c r="A213" s="43" t="n">
        <v>45514</v>
      </c>
      <c r="B213" s="1" t="n">
        <v>2024</v>
      </c>
      <c r="C213" s="1" t="s">
        <v>69</v>
      </c>
      <c r="D213" s="1" t="s">
        <v>126</v>
      </c>
      <c r="E213" s="1" t="s">
        <v>120</v>
      </c>
      <c r="F213" s="1" t="s">
        <v>188</v>
      </c>
      <c r="G213" s="1" t="s">
        <v>205</v>
      </c>
      <c r="H213" s="1" t="s">
        <v>39</v>
      </c>
      <c r="I213" s="1" t="s">
        <v>155</v>
      </c>
      <c r="J213" s="1" t="s">
        <v>150</v>
      </c>
      <c r="K213" s="1" t="s">
        <v>110</v>
      </c>
      <c r="L213" s="1" t="n">
        <v>20</v>
      </c>
      <c r="M213" s="37" t="n">
        <v>23984</v>
      </c>
      <c r="N213" s="44" t="n">
        <v>0.2</v>
      </c>
      <c r="O213" s="1" t="n">
        <v>14620.03</v>
      </c>
      <c r="P213" s="37" t="n">
        <v>479680</v>
      </c>
      <c r="Q213" s="37" t="n">
        <v>383744</v>
      </c>
      <c r="R213" s="37" t="n">
        <v>91343.4</v>
      </c>
      <c r="S213" s="1" t="s">
        <v>111</v>
      </c>
    </row>
    <row r="214" customFormat="false" ht="15" hidden="false" customHeight="true" outlineLevel="0" collapsed="false">
      <c r="A214" s="43" t="n">
        <v>45547</v>
      </c>
      <c r="B214" s="1" t="n">
        <v>2024</v>
      </c>
      <c r="C214" s="1" t="s">
        <v>72</v>
      </c>
      <c r="D214" s="1" t="s">
        <v>126</v>
      </c>
      <c r="E214" s="1" t="s">
        <v>105</v>
      </c>
      <c r="F214" s="1" t="s">
        <v>151</v>
      </c>
      <c r="G214" s="1" t="s">
        <v>207</v>
      </c>
      <c r="H214" s="1" t="s">
        <v>42</v>
      </c>
      <c r="I214" s="1" t="s">
        <v>116</v>
      </c>
      <c r="J214" s="1" t="s">
        <v>128</v>
      </c>
      <c r="K214" s="1" t="s">
        <v>146</v>
      </c>
      <c r="L214" s="1" t="n">
        <v>15</v>
      </c>
      <c r="M214" s="37" t="n">
        <v>46394</v>
      </c>
      <c r="N214" s="44" t="n">
        <v>0</v>
      </c>
      <c r="O214" s="1" t="n">
        <v>30452.67</v>
      </c>
      <c r="P214" s="37" t="n">
        <v>695910</v>
      </c>
      <c r="Q214" s="37" t="n">
        <v>695910</v>
      </c>
      <c r="R214" s="37" t="n">
        <v>239119.95</v>
      </c>
      <c r="S214" s="1" t="s">
        <v>104</v>
      </c>
    </row>
    <row r="215" customFormat="false" ht="15" hidden="false" customHeight="true" outlineLevel="0" collapsed="false">
      <c r="A215" s="43" t="n">
        <v>45590</v>
      </c>
      <c r="B215" s="1" t="n">
        <v>2024</v>
      </c>
      <c r="C215" s="1" t="s">
        <v>75</v>
      </c>
      <c r="D215" s="1" t="s">
        <v>136</v>
      </c>
      <c r="E215" s="1" t="s">
        <v>129</v>
      </c>
      <c r="F215" s="1" t="s">
        <v>160</v>
      </c>
      <c r="G215" s="1" t="s">
        <v>168</v>
      </c>
      <c r="H215" s="1" t="s">
        <v>37</v>
      </c>
      <c r="I215" s="1" t="s">
        <v>94</v>
      </c>
      <c r="J215" s="1" t="s">
        <v>150</v>
      </c>
      <c r="K215" s="1" t="s">
        <v>123</v>
      </c>
      <c r="L215" s="1" t="n">
        <v>7</v>
      </c>
      <c r="M215" s="37" t="n">
        <v>17175</v>
      </c>
      <c r="N215" s="44" t="n">
        <v>0.05</v>
      </c>
      <c r="O215" s="1" t="n">
        <v>10234.09</v>
      </c>
      <c r="P215" s="37" t="n">
        <v>120225</v>
      </c>
      <c r="Q215" s="37" t="n">
        <v>114213.75</v>
      </c>
      <c r="R215" s="37" t="n">
        <v>42575.12</v>
      </c>
      <c r="S215" s="1" t="s">
        <v>125</v>
      </c>
    </row>
    <row r="216" customFormat="false" ht="15" hidden="false" customHeight="true" outlineLevel="0" collapsed="false">
      <c r="A216" s="43" t="n">
        <v>45597</v>
      </c>
      <c r="B216" s="1" t="n">
        <v>2024</v>
      </c>
      <c r="C216" s="1" t="s">
        <v>76</v>
      </c>
      <c r="D216" s="1" t="s">
        <v>136</v>
      </c>
      <c r="E216" s="1" t="s">
        <v>113</v>
      </c>
      <c r="F216" s="1" t="s">
        <v>138</v>
      </c>
      <c r="G216" s="1" t="s">
        <v>171</v>
      </c>
      <c r="H216" s="1" t="s">
        <v>45</v>
      </c>
      <c r="I216" s="1" t="s">
        <v>38</v>
      </c>
      <c r="J216" s="1" t="s">
        <v>95</v>
      </c>
      <c r="K216" s="1" t="s">
        <v>133</v>
      </c>
      <c r="L216" s="1" t="n">
        <v>40</v>
      </c>
      <c r="M216" s="37" t="n">
        <v>47956</v>
      </c>
      <c r="N216" s="44" t="n">
        <v>0.05</v>
      </c>
      <c r="O216" s="1" t="n">
        <v>30166.95</v>
      </c>
      <c r="P216" s="37" t="n">
        <v>1918240</v>
      </c>
      <c r="Q216" s="37" t="n">
        <v>1822328</v>
      </c>
      <c r="R216" s="37" t="n">
        <v>615650</v>
      </c>
      <c r="S216" s="1" t="s">
        <v>111</v>
      </c>
    </row>
    <row r="217" customFormat="false" ht="15" hidden="false" customHeight="true" outlineLevel="0" collapsed="false">
      <c r="A217" s="43" t="n">
        <v>45653</v>
      </c>
      <c r="B217" s="1" t="n">
        <v>2024</v>
      </c>
      <c r="C217" s="1" t="s">
        <v>77</v>
      </c>
      <c r="D217" s="1" t="s">
        <v>136</v>
      </c>
      <c r="E217" s="1" t="s">
        <v>129</v>
      </c>
      <c r="F217" s="1" t="s">
        <v>99</v>
      </c>
      <c r="H217" s="1" t="s">
        <v>37</v>
      </c>
      <c r="I217" s="1" t="s">
        <v>155</v>
      </c>
      <c r="J217" s="1" t="s">
        <v>150</v>
      </c>
      <c r="K217" s="1" t="s">
        <v>133</v>
      </c>
      <c r="L217" s="1" t="n">
        <v>132</v>
      </c>
      <c r="M217" s="37" t="n">
        <v>66445</v>
      </c>
      <c r="N217" s="44" t="n">
        <v>0.12</v>
      </c>
      <c r="O217" s="1" t="n">
        <v>37588.69</v>
      </c>
      <c r="P217" s="37" t="n">
        <v>8770740</v>
      </c>
      <c r="Q217" s="37" t="n">
        <v>7718251.2</v>
      </c>
      <c r="R217" s="37" t="n">
        <v>2756544.12</v>
      </c>
      <c r="S217" s="1" t="s">
        <v>97</v>
      </c>
    </row>
    <row r="218" customFormat="false" ht="15" hidden="false" customHeight="true" outlineLevel="0" collapsed="false">
      <c r="A218" s="43" t="n">
        <v>45294</v>
      </c>
      <c r="B218" s="1" t="n">
        <v>2024</v>
      </c>
      <c r="C218" s="1" t="s">
        <v>50</v>
      </c>
      <c r="D218" s="1" t="s">
        <v>90</v>
      </c>
      <c r="E218" s="1" t="s">
        <v>105</v>
      </c>
      <c r="F218" s="1" t="s">
        <v>160</v>
      </c>
      <c r="G218" s="1" t="s">
        <v>115</v>
      </c>
      <c r="H218" s="1" t="s">
        <v>35</v>
      </c>
      <c r="I218" s="1" t="s">
        <v>101</v>
      </c>
      <c r="J218" s="1" t="s">
        <v>132</v>
      </c>
      <c r="K218" s="1" t="s">
        <v>133</v>
      </c>
      <c r="L218" s="1" t="n">
        <v>15</v>
      </c>
      <c r="M218" s="37" t="n">
        <v>89600</v>
      </c>
      <c r="N218" s="44" t="n">
        <v>0</v>
      </c>
      <c r="O218" s="1" t="n">
        <v>43450.01</v>
      </c>
      <c r="P218" s="37" t="n">
        <v>1344000</v>
      </c>
      <c r="Q218" s="37" t="n">
        <v>1344000</v>
      </c>
      <c r="R218" s="37" t="n">
        <v>692249.85</v>
      </c>
      <c r="S218" s="1" t="s">
        <v>104</v>
      </c>
    </row>
    <row r="219" customFormat="false" ht="15" hidden="false" customHeight="true" outlineLevel="0" collapsed="false">
      <c r="A219" s="43" t="n">
        <v>45326</v>
      </c>
      <c r="B219" s="1" t="n">
        <v>2024</v>
      </c>
      <c r="C219" s="1" t="s">
        <v>53</v>
      </c>
      <c r="D219" s="1" t="s">
        <v>90</v>
      </c>
      <c r="E219" s="1" t="s">
        <v>91</v>
      </c>
      <c r="F219" s="1" t="s">
        <v>114</v>
      </c>
      <c r="G219" s="1" t="s">
        <v>210</v>
      </c>
      <c r="H219" s="1" t="s">
        <v>46</v>
      </c>
      <c r="I219" s="1" t="s">
        <v>101</v>
      </c>
      <c r="J219" s="1" t="s">
        <v>102</v>
      </c>
      <c r="K219" s="1" t="s">
        <v>123</v>
      </c>
      <c r="L219" s="1" t="n">
        <v>11</v>
      </c>
      <c r="M219" s="37" t="n">
        <v>126744</v>
      </c>
      <c r="N219" s="44" t="n">
        <v>0.2</v>
      </c>
      <c r="O219" s="1" t="n">
        <v>96004.33</v>
      </c>
      <c r="P219" s="37" t="n">
        <v>1394184</v>
      </c>
      <c r="Q219" s="37" t="n">
        <v>1115347.2</v>
      </c>
      <c r="R219" s="37" t="n">
        <v>59299.57</v>
      </c>
      <c r="S219" s="1" t="s">
        <v>97</v>
      </c>
    </row>
    <row r="220" customFormat="false" ht="15" hidden="false" customHeight="true" outlineLevel="0" collapsed="false">
      <c r="A220" s="43" t="n">
        <v>45378</v>
      </c>
      <c r="B220" s="1" t="n">
        <v>2024</v>
      </c>
      <c r="C220" s="1" t="s">
        <v>56</v>
      </c>
      <c r="D220" s="1" t="s">
        <v>90</v>
      </c>
      <c r="E220" s="1" t="s">
        <v>98</v>
      </c>
      <c r="F220" s="1" t="s">
        <v>92</v>
      </c>
      <c r="G220" s="1" t="s">
        <v>166</v>
      </c>
      <c r="H220" s="1" t="s">
        <v>37</v>
      </c>
      <c r="I220" s="1" t="s">
        <v>155</v>
      </c>
      <c r="J220" s="1" t="s">
        <v>150</v>
      </c>
      <c r="K220" s="1" t="s">
        <v>123</v>
      </c>
      <c r="L220" s="1" t="n">
        <v>11</v>
      </c>
      <c r="M220" s="37" t="n">
        <v>27373</v>
      </c>
      <c r="N220" s="44" t="n">
        <v>0.1</v>
      </c>
      <c r="O220" s="1" t="n">
        <v>13311.48</v>
      </c>
      <c r="P220" s="37" t="n">
        <v>301103</v>
      </c>
      <c r="Q220" s="37" t="n">
        <v>270992.7</v>
      </c>
      <c r="R220" s="37" t="n">
        <v>124566.42</v>
      </c>
      <c r="S220" s="1" t="s">
        <v>111</v>
      </c>
    </row>
    <row r="221" customFormat="false" ht="15" hidden="false" customHeight="true" outlineLevel="0" collapsed="false">
      <c r="A221" s="43" t="n">
        <v>45383</v>
      </c>
      <c r="B221" s="1" t="n">
        <v>2024</v>
      </c>
      <c r="C221" s="1" t="s">
        <v>59</v>
      </c>
      <c r="D221" s="1" t="s">
        <v>112</v>
      </c>
      <c r="E221" s="1" t="s">
        <v>105</v>
      </c>
      <c r="F221" s="1" t="s">
        <v>140</v>
      </c>
      <c r="H221" s="1" t="s">
        <v>44</v>
      </c>
      <c r="I221" s="1" t="s">
        <v>108</v>
      </c>
      <c r="J221" s="1" t="s">
        <v>109</v>
      </c>
      <c r="K221" s="1" t="s">
        <v>118</v>
      </c>
      <c r="L221" s="1" t="n">
        <v>32</v>
      </c>
      <c r="M221" s="37" t="n">
        <v>119815</v>
      </c>
      <c r="N221" s="44" t="n">
        <v>0.05</v>
      </c>
      <c r="O221" s="1" t="n">
        <v>64887.55</v>
      </c>
      <c r="P221" s="37" t="n">
        <v>3834080</v>
      </c>
      <c r="Q221" s="37" t="n">
        <v>3642376</v>
      </c>
      <c r="R221" s="37" t="n">
        <v>1565974.4</v>
      </c>
      <c r="S221" s="1" t="s">
        <v>119</v>
      </c>
    </row>
    <row r="222" customFormat="false" ht="15" hidden="false" customHeight="true" outlineLevel="0" collapsed="false">
      <c r="A222" s="43" t="n">
        <v>45420</v>
      </c>
      <c r="B222" s="1" t="n">
        <v>2024</v>
      </c>
      <c r="C222" s="1" t="s">
        <v>62</v>
      </c>
      <c r="D222" s="1" t="s">
        <v>112</v>
      </c>
      <c r="E222" s="1" t="s">
        <v>137</v>
      </c>
      <c r="F222" s="1" t="s">
        <v>134</v>
      </c>
      <c r="G222" s="1" t="s">
        <v>189</v>
      </c>
      <c r="H222" s="1" t="s">
        <v>44</v>
      </c>
      <c r="I222" s="1" t="s">
        <v>144</v>
      </c>
      <c r="J222" s="1" t="s">
        <v>109</v>
      </c>
      <c r="K222" s="1" t="s">
        <v>123</v>
      </c>
      <c r="L222" s="1" t="n">
        <v>16</v>
      </c>
      <c r="M222" s="37" t="n">
        <v>112893</v>
      </c>
      <c r="N222" s="44" t="n">
        <v>0</v>
      </c>
      <c r="O222" s="1" t="n">
        <v>51261.97</v>
      </c>
      <c r="P222" s="37" t="n">
        <v>1806288</v>
      </c>
      <c r="Q222" s="37" t="n">
        <v>1806288</v>
      </c>
      <c r="R222" s="37" t="n">
        <v>986096.48</v>
      </c>
      <c r="S222" s="1" t="s">
        <v>104</v>
      </c>
    </row>
    <row r="223" customFormat="false" ht="15" hidden="false" customHeight="true" outlineLevel="0" collapsed="false">
      <c r="A223" s="43" t="n">
        <v>45451</v>
      </c>
      <c r="B223" s="1" t="n">
        <v>2024</v>
      </c>
      <c r="C223" s="1" t="s">
        <v>65</v>
      </c>
      <c r="D223" s="1" t="s">
        <v>112</v>
      </c>
      <c r="E223" s="1" t="s">
        <v>113</v>
      </c>
      <c r="F223" s="1" t="s">
        <v>134</v>
      </c>
      <c r="G223" s="1" t="s">
        <v>205</v>
      </c>
      <c r="H223" s="1" t="s">
        <v>39</v>
      </c>
      <c r="I223" s="1" t="s">
        <v>155</v>
      </c>
      <c r="J223" s="1" t="s">
        <v>150</v>
      </c>
      <c r="K223" s="1" t="s">
        <v>96</v>
      </c>
      <c r="L223" s="1" t="n">
        <v>36</v>
      </c>
      <c r="M223" s="37" t="n">
        <v>117716</v>
      </c>
      <c r="N223" s="44" t="n">
        <v>0.05</v>
      </c>
      <c r="O223" s="1" t="n">
        <v>71887.17</v>
      </c>
      <c r="P223" s="37" t="n">
        <v>4237776</v>
      </c>
      <c r="Q223" s="37" t="n">
        <v>4025887.2</v>
      </c>
      <c r="R223" s="37" t="n">
        <v>1437949.08</v>
      </c>
      <c r="S223" s="1" t="s">
        <v>111</v>
      </c>
    </row>
    <row r="224" customFormat="false" ht="15" hidden="false" customHeight="true" outlineLevel="0" collapsed="false">
      <c r="A224" s="43" t="n">
        <v>45494</v>
      </c>
      <c r="B224" s="1" t="n">
        <v>2024</v>
      </c>
      <c r="C224" s="1" t="s">
        <v>66</v>
      </c>
      <c r="D224" s="1" t="s">
        <v>126</v>
      </c>
      <c r="E224" s="1" t="s">
        <v>91</v>
      </c>
      <c r="F224" s="1" t="s">
        <v>188</v>
      </c>
      <c r="G224" s="1" t="s">
        <v>201</v>
      </c>
      <c r="H224" s="1" t="s">
        <v>46</v>
      </c>
      <c r="I224" s="1" t="s">
        <v>33</v>
      </c>
      <c r="J224" s="1" t="s">
        <v>102</v>
      </c>
      <c r="K224" s="1" t="s">
        <v>146</v>
      </c>
      <c r="L224" s="1" t="n">
        <v>36</v>
      </c>
      <c r="M224" s="37" t="n">
        <v>35827</v>
      </c>
      <c r="N224" s="44" t="n">
        <v>0.2</v>
      </c>
      <c r="O224" s="1" t="n">
        <v>27283.65</v>
      </c>
      <c r="P224" s="37" t="n">
        <v>1289772</v>
      </c>
      <c r="Q224" s="37" t="n">
        <v>1031817.6</v>
      </c>
      <c r="R224" s="37" t="n">
        <v>49606.2</v>
      </c>
      <c r="S224" s="1" t="s">
        <v>111</v>
      </c>
    </row>
    <row r="225" customFormat="false" ht="15" hidden="false" customHeight="true" outlineLevel="0" collapsed="false">
      <c r="A225" s="43" t="n">
        <v>45532</v>
      </c>
      <c r="B225" s="1" t="n">
        <v>2024</v>
      </c>
      <c r="C225" s="1" t="s">
        <v>69</v>
      </c>
      <c r="D225" s="1" t="s">
        <v>126</v>
      </c>
      <c r="E225" s="1" t="s">
        <v>98</v>
      </c>
      <c r="F225" s="1" t="s">
        <v>130</v>
      </c>
      <c r="G225" s="1" t="s">
        <v>211</v>
      </c>
      <c r="H225" s="1" t="s">
        <v>36</v>
      </c>
      <c r="I225" s="1" t="s">
        <v>101</v>
      </c>
      <c r="J225" s="1" t="s">
        <v>117</v>
      </c>
      <c r="K225" s="1" t="s">
        <v>123</v>
      </c>
      <c r="L225" s="1" t="n">
        <v>29</v>
      </c>
      <c r="M225" s="37" t="n">
        <v>280516</v>
      </c>
      <c r="N225" s="44"/>
      <c r="O225" s="1" t="n">
        <v>207710.7</v>
      </c>
      <c r="P225" s="37" t="n">
        <v>8134964</v>
      </c>
      <c r="Q225" s="37" t="n">
        <v>8134964</v>
      </c>
      <c r="R225" s="37" t="n">
        <v>2111353.7</v>
      </c>
      <c r="S225" s="1" t="s">
        <v>119</v>
      </c>
    </row>
    <row r="226" customFormat="false" ht="15" hidden="false" customHeight="true" outlineLevel="0" collapsed="false">
      <c r="A226" s="43" t="n">
        <v>45562</v>
      </c>
      <c r="B226" s="1" t="n">
        <v>2024</v>
      </c>
      <c r="C226" s="1" t="s">
        <v>72</v>
      </c>
      <c r="D226" s="1" t="s">
        <v>126</v>
      </c>
      <c r="E226" s="1" t="s">
        <v>137</v>
      </c>
      <c r="F226" s="1" t="s">
        <v>140</v>
      </c>
      <c r="G226" s="1" t="s">
        <v>201</v>
      </c>
      <c r="H226" s="1" t="s">
        <v>35</v>
      </c>
      <c r="I226" s="1" t="s">
        <v>116</v>
      </c>
      <c r="J226" s="1" t="s">
        <v>132</v>
      </c>
      <c r="K226" s="1" t="s">
        <v>146</v>
      </c>
      <c r="L226" s="1" t="n">
        <v>17</v>
      </c>
      <c r="M226" s="37" t="n">
        <v>61163</v>
      </c>
      <c r="N226" s="44" t="n">
        <v>0.08</v>
      </c>
      <c r="O226" s="1" t="n">
        <v>32138.49</v>
      </c>
      <c r="P226" s="37" t="n">
        <v>1039771</v>
      </c>
      <c r="Q226" s="37" t="n">
        <v>956589.32</v>
      </c>
      <c r="R226" s="37" t="n">
        <v>410234.99</v>
      </c>
      <c r="S226" s="1" t="s">
        <v>104</v>
      </c>
    </row>
    <row r="227" customFormat="false" ht="15" hidden="false" customHeight="true" outlineLevel="0" collapsed="false">
      <c r="A227" s="43" t="n">
        <v>45569</v>
      </c>
      <c r="B227" s="1" t="n">
        <v>2024</v>
      </c>
      <c r="C227" s="1" t="s">
        <v>75</v>
      </c>
      <c r="D227" s="1" t="s">
        <v>136</v>
      </c>
      <c r="E227" s="1" t="s">
        <v>105</v>
      </c>
      <c r="F227" s="1" t="s">
        <v>121</v>
      </c>
      <c r="G227" s="1" t="s">
        <v>205</v>
      </c>
      <c r="H227" s="1" t="s">
        <v>44</v>
      </c>
      <c r="I227" s="1" t="s">
        <v>108</v>
      </c>
      <c r="J227" s="1" t="s">
        <v>109</v>
      </c>
      <c r="K227" s="1" t="s">
        <v>96</v>
      </c>
      <c r="L227" s="1" t="n">
        <v>160</v>
      </c>
      <c r="M227" s="37" t="n">
        <v>157024</v>
      </c>
      <c r="N227" s="44" t="n">
        <v>0.12</v>
      </c>
      <c r="O227" s="1" t="n">
        <v>121462.74</v>
      </c>
      <c r="P227" s="37" t="n">
        <v>25123840</v>
      </c>
      <c r="Q227" s="37" t="n">
        <v>22108979.2</v>
      </c>
      <c r="R227" s="37" t="n">
        <v>2674940.8</v>
      </c>
      <c r="S227" s="1" t="s">
        <v>104</v>
      </c>
    </row>
    <row r="228" customFormat="false" ht="15" hidden="false" customHeight="true" outlineLevel="0" collapsed="false">
      <c r="A228" s="43" t="n">
        <v>45616</v>
      </c>
      <c r="B228" s="1" t="n">
        <v>2024</v>
      </c>
      <c r="C228" s="1" t="s">
        <v>76</v>
      </c>
      <c r="D228" s="1" t="s">
        <v>136</v>
      </c>
      <c r="E228" s="1" t="s">
        <v>113</v>
      </c>
      <c r="F228" s="1" t="s">
        <v>158</v>
      </c>
      <c r="G228" s="1" t="s">
        <v>166</v>
      </c>
      <c r="H228" s="1" t="s">
        <v>44</v>
      </c>
      <c r="I228" s="1" t="s">
        <v>108</v>
      </c>
      <c r="J228" s="1" t="s">
        <v>109</v>
      </c>
      <c r="K228" s="1" t="s">
        <v>110</v>
      </c>
      <c r="L228" s="1" t="n">
        <v>16</v>
      </c>
      <c r="M228" s="37" t="n">
        <v>101878</v>
      </c>
      <c r="N228" s="44" t="n">
        <v>0.12</v>
      </c>
      <c r="O228" s="1" t="n">
        <v>74541.98</v>
      </c>
      <c r="P228" s="37" t="n">
        <v>1630048</v>
      </c>
      <c r="Q228" s="37" t="n">
        <v>1434442.24</v>
      </c>
      <c r="R228" s="37" t="n">
        <v>241770.56</v>
      </c>
      <c r="S228" s="1" t="s">
        <v>104</v>
      </c>
    </row>
    <row r="229" customFormat="false" ht="15" hidden="false" customHeight="true" outlineLevel="0" collapsed="false">
      <c r="A229" s="43" t="n">
        <v>45654</v>
      </c>
      <c r="B229" s="1" t="n">
        <v>2024</v>
      </c>
      <c r="C229" s="1" t="s">
        <v>77</v>
      </c>
      <c r="D229" s="1" t="s">
        <v>136</v>
      </c>
      <c r="E229" s="1" t="s">
        <v>113</v>
      </c>
      <c r="F229" s="1" t="s">
        <v>140</v>
      </c>
      <c r="G229" s="1" t="s">
        <v>183</v>
      </c>
      <c r="H229" s="1" t="s">
        <v>43</v>
      </c>
      <c r="I229" s="1" t="s">
        <v>116</v>
      </c>
      <c r="J229" s="1" t="s">
        <v>148</v>
      </c>
      <c r="K229" s="1" t="s">
        <v>96</v>
      </c>
      <c r="L229" s="1" t="n">
        <v>14</v>
      </c>
      <c r="M229" s="37" t="n">
        <v>88173</v>
      </c>
      <c r="N229" s="44" t="n">
        <v>0.1</v>
      </c>
      <c r="O229" s="1" t="n">
        <v>69962.4</v>
      </c>
      <c r="P229" s="37" t="n">
        <v>1234422</v>
      </c>
      <c r="Q229" s="37" t="n">
        <v>1110979.8</v>
      </c>
      <c r="R229" s="37" t="n">
        <v>131506.2</v>
      </c>
      <c r="S229" s="1" t="s">
        <v>172</v>
      </c>
    </row>
    <row r="230" customFormat="false" ht="15" hidden="false" customHeight="true" outlineLevel="0" collapsed="false">
      <c r="A230" s="43" t="n">
        <v>45316</v>
      </c>
      <c r="B230" s="1" t="n">
        <v>2024</v>
      </c>
      <c r="C230" s="1" t="s">
        <v>50</v>
      </c>
      <c r="D230" s="1" t="s">
        <v>90</v>
      </c>
      <c r="E230" s="1" t="s">
        <v>113</v>
      </c>
      <c r="F230" s="1" t="s">
        <v>158</v>
      </c>
      <c r="G230" s="1" t="s">
        <v>166</v>
      </c>
      <c r="H230" s="1" t="s">
        <v>34</v>
      </c>
      <c r="I230" s="1" t="s">
        <v>101</v>
      </c>
      <c r="J230" s="1" t="s">
        <v>132</v>
      </c>
      <c r="K230" s="1" t="s">
        <v>123</v>
      </c>
      <c r="L230" s="1" t="n">
        <v>35</v>
      </c>
      <c r="M230" s="37" t="n">
        <v>122726</v>
      </c>
      <c r="N230" s="44" t="n">
        <v>0.05</v>
      </c>
      <c r="O230" s="1" t="n">
        <v>56312.24</v>
      </c>
      <c r="P230" s="37" t="n">
        <v>4295410</v>
      </c>
      <c r="Q230" s="37" t="n">
        <v>4080639.5</v>
      </c>
      <c r="R230" s="37" t="n">
        <v>2109711.1</v>
      </c>
      <c r="S230" s="1" t="s">
        <v>104</v>
      </c>
    </row>
    <row r="231" customFormat="false" ht="15" hidden="false" customHeight="true" outlineLevel="0" collapsed="false">
      <c r="A231" s="43" t="n">
        <v>45331</v>
      </c>
      <c r="B231" s="1" t="n">
        <v>2024</v>
      </c>
      <c r="C231" s="1" t="s">
        <v>53</v>
      </c>
      <c r="D231" s="1" t="s">
        <v>90</v>
      </c>
      <c r="E231" s="1" t="s">
        <v>120</v>
      </c>
      <c r="F231" s="1" t="s">
        <v>106</v>
      </c>
      <c r="G231" s="1" t="s">
        <v>212</v>
      </c>
      <c r="H231" s="1" t="s">
        <v>45</v>
      </c>
      <c r="I231" s="1" t="s">
        <v>94</v>
      </c>
      <c r="J231" s="1" t="s">
        <v>95</v>
      </c>
      <c r="K231" s="1" t="s">
        <v>96</v>
      </c>
      <c r="L231" s="1" t="n">
        <v>420</v>
      </c>
      <c r="M231" s="37" t="n">
        <v>38864</v>
      </c>
      <c r="N231" s="44" t="n">
        <v>0.15</v>
      </c>
      <c r="O231" s="1" t="n">
        <v>27587.39</v>
      </c>
      <c r="P231" s="37" t="n">
        <v>16322880</v>
      </c>
      <c r="Q231" s="37" t="n">
        <v>13874448</v>
      </c>
      <c r="R231" s="37" t="n">
        <v>2287744.2</v>
      </c>
      <c r="S231" s="1" t="s">
        <v>111</v>
      </c>
    </row>
    <row r="232" customFormat="false" ht="15" hidden="false" customHeight="true" outlineLevel="0" collapsed="false">
      <c r="A232" s="43" t="n">
        <v>45353</v>
      </c>
      <c r="B232" s="1" t="n">
        <v>2024</v>
      </c>
      <c r="C232" s="1" t="s">
        <v>56</v>
      </c>
      <c r="D232" s="1" t="s">
        <v>90</v>
      </c>
      <c r="E232" s="1" t="s">
        <v>98</v>
      </c>
      <c r="F232" s="1" t="s">
        <v>121</v>
      </c>
      <c r="G232" s="1" t="s">
        <v>199</v>
      </c>
      <c r="H232" s="1" t="s">
        <v>45</v>
      </c>
      <c r="I232" s="1" t="s">
        <v>94</v>
      </c>
      <c r="J232" s="1" t="s">
        <v>95</v>
      </c>
      <c r="K232" s="1" t="s">
        <v>110</v>
      </c>
      <c r="L232" s="1" t="n">
        <v>36</v>
      </c>
      <c r="M232" s="37" t="n">
        <v>65238</v>
      </c>
      <c r="N232" s="44" t="n">
        <v>0.12</v>
      </c>
      <c r="O232" s="1" t="n">
        <v>48308.36</v>
      </c>
      <c r="P232" s="37" t="n">
        <v>2348568</v>
      </c>
      <c r="Q232" s="37" t="n">
        <v>2066739.84</v>
      </c>
      <c r="R232" s="37" t="n">
        <v>327638.88</v>
      </c>
      <c r="S232" s="1" t="s">
        <v>172</v>
      </c>
    </row>
    <row r="233" customFormat="false" ht="15" hidden="false" customHeight="true" outlineLevel="0" collapsed="false">
      <c r="A233" s="43" t="n">
        <v>45407</v>
      </c>
      <c r="B233" s="1" t="n">
        <v>2024</v>
      </c>
      <c r="C233" s="1" t="s">
        <v>59</v>
      </c>
      <c r="D233" s="1" t="s">
        <v>112</v>
      </c>
      <c r="E233" s="1" t="s">
        <v>137</v>
      </c>
      <c r="F233" s="1" t="s">
        <v>99</v>
      </c>
      <c r="G233" s="1" t="s">
        <v>195</v>
      </c>
      <c r="H233" s="1" t="s">
        <v>36</v>
      </c>
      <c r="I233" s="1" t="s">
        <v>33</v>
      </c>
      <c r="J233" s="1" t="s">
        <v>117</v>
      </c>
      <c r="K233" s="1" t="s">
        <v>96</v>
      </c>
      <c r="L233" s="1" t="n">
        <v>5</v>
      </c>
      <c r="M233" s="37" t="n">
        <v>57559</v>
      </c>
      <c r="N233" s="44" t="n">
        <v>0.05</v>
      </c>
      <c r="O233" s="1" t="n">
        <v>33500.45</v>
      </c>
      <c r="P233" s="37" t="n">
        <v>287795</v>
      </c>
      <c r="Q233" s="37" t="n">
        <v>273405.25</v>
      </c>
      <c r="R233" s="37" t="n">
        <v>105903</v>
      </c>
      <c r="S233" s="1" t="s">
        <v>125</v>
      </c>
    </row>
    <row r="234" customFormat="false" ht="15" hidden="false" customHeight="true" outlineLevel="0" collapsed="false">
      <c r="A234" s="43" t="n">
        <v>45427</v>
      </c>
      <c r="B234" s="1" t="n">
        <v>2024</v>
      </c>
      <c r="C234" s="1" t="s">
        <v>62</v>
      </c>
      <c r="D234" s="1" t="s">
        <v>112</v>
      </c>
      <c r="E234" s="1" t="s">
        <v>137</v>
      </c>
      <c r="F234" s="1" t="s">
        <v>151</v>
      </c>
      <c r="G234" s="1" t="s">
        <v>127</v>
      </c>
      <c r="H234" s="1" t="s">
        <v>39</v>
      </c>
      <c r="I234" s="1" t="s">
        <v>38</v>
      </c>
      <c r="J234" s="1" t="s">
        <v>150</v>
      </c>
      <c r="K234" s="1" t="s">
        <v>133</v>
      </c>
      <c r="L234" s="1" t="n">
        <v>39</v>
      </c>
      <c r="M234" s="37" t="n">
        <v>175936</v>
      </c>
      <c r="N234" s="44" t="n">
        <v>0.2</v>
      </c>
      <c r="O234" s="1" t="n">
        <v>109378.15</v>
      </c>
      <c r="P234" s="37" t="n">
        <v>6861504</v>
      </c>
      <c r="Q234" s="37" t="n">
        <v>5489203.2</v>
      </c>
      <c r="R234" s="37" t="n">
        <v>1223455.35</v>
      </c>
      <c r="S234" s="1" t="s">
        <v>111</v>
      </c>
    </row>
    <row r="235" customFormat="false" ht="15" hidden="false" customHeight="true" outlineLevel="0" collapsed="false">
      <c r="A235" s="43" t="n">
        <v>45446</v>
      </c>
      <c r="B235" s="1" t="n">
        <v>2024</v>
      </c>
      <c r="C235" s="1" t="s">
        <v>65</v>
      </c>
      <c r="D235" s="1" t="s">
        <v>112</v>
      </c>
      <c r="E235" s="1" t="s">
        <v>105</v>
      </c>
      <c r="F235" s="1" t="s">
        <v>160</v>
      </c>
      <c r="G235" s="1" t="s">
        <v>166</v>
      </c>
      <c r="H235" s="1" t="s">
        <v>43</v>
      </c>
      <c r="I235" s="1" t="s">
        <v>116</v>
      </c>
      <c r="J235" s="1" t="s">
        <v>148</v>
      </c>
      <c r="K235" s="1" t="s">
        <v>110</v>
      </c>
      <c r="L235" s="1" t="n">
        <v>35</v>
      </c>
      <c r="M235" s="37" t="n">
        <v>103593</v>
      </c>
      <c r="N235" s="44" t="n">
        <v>0.15</v>
      </c>
      <c r="O235" s="1" t="n">
        <v>70667.73</v>
      </c>
      <c r="P235" s="37" t="n">
        <v>3625755</v>
      </c>
      <c r="Q235" s="37" t="n">
        <v>3081891.75</v>
      </c>
      <c r="R235" s="37" t="n">
        <v>608521.2</v>
      </c>
      <c r="S235" s="1" t="s">
        <v>119</v>
      </c>
    </row>
    <row r="236" customFormat="false" ht="15" hidden="false" customHeight="true" outlineLevel="0" collapsed="false">
      <c r="A236" s="43" t="n">
        <v>45474</v>
      </c>
      <c r="B236" s="1" t="n">
        <v>2024</v>
      </c>
      <c r="C236" s="1" t="s">
        <v>66</v>
      </c>
      <c r="D236" s="1" t="s">
        <v>126</v>
      </c>
      <c r="E236" s="1" t="s">
        <v>91</v>
      </c>
      <c r="F236" s="1" t="s">
        <v>92</v>
      </c>
      <c r="G236" s="1" t="s">
        <v>195</v>
      </c>
      <c r="H236" s="1" t="s">
        <v>45</v>
      </c>
      <c r="I236" s="1" t="s">
        <v>155</v>
      </c>
      <c r="J236" s="1" t="s">
        <v>95</v>
      </c>
      <c r="K236" s="1" t="s">
        <v>96</v>
      </c>
      <c r="L236" s="1" t="n">
        <v>40</v>
      </c>
      <c r="M236" s="37" t="n">
        <v>75917</v>
      </c>
      <c r="N236" s="44"/>
      <c r="O236" s="1" t="n">
        <v>44296.08</v>
      </c>
      <c r="P236" s="37" t="n">
        <v>3036680</v>
      </c>
      <c r="Q236" s="37" t="n">
        <v>3036680</v>
      </c>
      <c r="R236" s="37" t="n">
        <v>1264836.8</v>
      </c>
      <c r="S236" s="1" t="s">
        <v>97</v>
      </c>
    </row>
    <row r="237" customFormat="false" ht="15" hidden="false" customHeight="true" outlineLevel="0" collapsed="false">
      <c r="A237" s="43" t="n">
        <v>45530</v>
      </c>
      <c r="B237" s="1" t="n">
        <v>2024</v>
      </c>
      <c r="C237" s="1" t="s">
        <v>69</v>
      </c>
      <c r="D237" s="1" t="s">
        <v>126</v>
      </c>
      <c r="E237" s="1" t="s">
        <v>129</v>
      </c>
      <c r="F237" s="1" t="s">
        <v>121</v>
      </c>
      <c r="G237" s="1" t="s">
        <v>169</v>
      </c>
      <c r="H237" s="1" t="s">
        <v>43</v>
      </c>
      <c r="I237" s="1" t="s">
        <v>33</v>
      </c>
      <c r="J237" s="1" t="s">
        <v>148</v>
      </c>
      <c r="K237" s="1" t="s">
        <v>133</v>
      </c>
      <c r="L237" s="1" t="n">
        <v>13</v>
      </c>
      <c r="M237" s="37" t="n">
        <v>33586</v>
      </c>
      <c r="N237" s="44" t="n">
        <v>0.1</v>
      </c>
      <c r="O237" s="1" t="n">
        <v>26535.29</v>
      </c>
      <c r="P237" s="37" t="n">
        <v>436618</v>
      </c>
      <c r="Q237" s="37" t="n">
        <v>392956.2</v>
      </c>
      <c r="R237" s="37" t="n">
        <v>47997.43</v>
      </c>
      <c r="S237" s="1" t="s">
        <v>111</v>
      </c>
    </row>
    <row r="238" customFormat="false" ht="15" hidden="false" customHeight="true" outlineLevel="0" collapsed="false">
      <c r="A238" s="43" t="n">
        <v>45549</v>
      </c>
      <c r="B238" s="1" t="n">
        <v>2024</v>
      </c>
      <c r="C238" s="1" t="s">
        <v>72</v>
      </c>
      <c r="D238" s="1" t="s">
        <v>126</v>
      </c>
      <c r="E238" s="1" t="s">
        <v>105</v>
      </c>
      <c r="F238" s="1" t="s">
        <v>114</v>
      </c>
      <c r="G238" s="1" t="s">
        <v>139</v>
      </c>
      <c r="H238" s="1" t="s">
        <v>45</v>
      </c>
      <c r="I238" s="1" t="s">
        <v>94</v>
      </c>
      <c r="J238" s="1" t="s">
        <v>95</v>
      </c>
      <c r="K238" s="1" t="s">
        <v>103</v>
      </c>
      <c r="L238" s="1" t="n">
        <v>28</v>
      </c>
      <c r="M238" s="37" t="n">
        <v>30905</v>
      </c>
      <c r="N238" s="44" t="n">
        <v>0.1</v>
      </c>
      <c r="O238" s="1" t="n">
        <v>14164.18</v>
      </c>
      <c r="P238" s="37" t="n">
        <v>865340</v>
      </c>
      <c r="Q238" s="37" t="n">
        <v>778806</v>
      </c>
      <c r="R238" s="37" t="n">
        <v>382208.96</v>
      </c>
      <c r="S238" s="1" t="s">
        <v>172</v>
      </c>
    </row>
    <row r="239" customFormat="false" ht="15" hidden="false" customHeight="true" outlineLevel="0" collapsed="false">
      <c r="A239" s="43" t="n">
        <v>45584</v>
      </c>
      <c r="B239" s="1" t="n">
        <v>2024</v>
      </c>
      <c r="C239" s="1" t="s">
        <v>75</v>
      </c>
      <c r="D239" s="1" t="s">
        <v>136</v>
      </c>
      <c r="E239" s="1" t="s">
        <v>105</v>
      </c>
      <c r="F239" s="1" t="s">
        <v>99</v>
      </c>
      <c r="H239" s="1" t="s">
        <v>34</v>
      </c>
      <c r="I239" s="1" t="s">
        <v>33</v>
      </c>
      <c r="J239" s="1" t="s">
        <v>132</v>
      </c>
      <c r="K239" s="1" t="s">
        <v>118</v>
      </c>
      <c r="L239" s="1" t="n">
        <v>29</v>
      </c>
      <c r="M239" s="37" t="n">
        <v>125514</v>
      </c>
      <c r="N239" s="44" t="n">
        <v>0.08</v>
      </c>
      <c r="O239" s="1" t="n">
        <v>86059.25</v>
      </c>
      <c r="P239" s="37" t="n">
        <v>3639906</v>
      </c>
      <c r="Q239" s="37" t="n">
        <v>3348713.52</v>
      </c>
      <c r="R239" s="37" t="n">
        <v>852995.27</v>
      </c>
      <c r="S239" s="1" t="s">
        <v>111</v>
      </c>
    </row>
    <row r="240" customFormat="false" ht="15" hidden="false" customHeight="true" outlineLevel="0" collapsed="false">
      <c r="A240" s="43" t="n">
        <v>45624</v>
      </c>
      <c r="B240" s="1" t="n">
        <v>2024</v>
      </c>
      <c r="C240" s="1" t="s">
        <v>76</v>
      </c>
      <c r="D240" s="1" t="s">
        <v>136</v>
      </c>
      <c r="E240" s="1" t="s">
        <v>91</v>
      </c>
      <c r="F240" s="1" t="s">
        <v>134</v>
      </c>
      <c r="H240" s="1" t="s">
        <v>46</v>
      </c>
      <c r="I240" s="1" t="s">
        <v>116</v>
      </c>
      <c r="J240" s="1" t="s">
        <v>102</v>
      </c>
      <c r="K240" s="1" t="s">
        <v>103</v>
      </c>
      <c r="L240" s="1" t="n">
        <v>20</v>
      </c>
      <c r="M240" s="37" t="n">
        <v>85798</v>
      </c>
      <c r="N240" s="44" t="n">
        <v>0.12</v>
      </c>
      <c r="O240" s="1" t="n">
        <v>50062.68</v>
      </c>
      <c r="P240" s="37" t="n">
        <v>1715960</v>
      </c>
      <c r="Q240" s="37" t="n">
        <v>1510044.8</v>
      </c>
      <c r="R240" s="37" t="n">
        <v>508791.2</v>
      </c>
      <c r="S240" s="1" t="s">
        <v>172</v>
      </c>
    </row>
    <row r="241" customFormat="false" ht="15" hidden="false" customHeight="true" outlineLevel="0" collapsed="false">
      <c r="A241" s="43" t="n">
        <v>45647</v>
      </c>
      <c r="B241" s="1" t="n">
        <v>2024</v>
      </c>
      <c r="C241" s="1" t="s">
        <v>77</v>
      </c>
      <c r="D241" s="1" t="s">
        <v>136</v>
      </c>
      <c r="E241" s="1" t="s">
        <v>120</v>
      </c>
      <c r="F241" s="1" t="s">
        <v>130</v>
      </c>
      <c r="G241" s="1" t="s">
        <v>147</v>
      </c>
      <c r="H241" s="1" t="s">
        <v>37</v>
      </c>
      <c r="I241" s="1" t="s">
        <v>155</v>
      </c>
      <c r="J241" s="1" t="s">
        <v>150</v>
      </c>
      <c r="K241" s="1" t="s">
        <v>110</v>
      </c>
      <c r="L241" s="1" t="n">
        <v>36</v>
      </c>
      <c r="M241" s="37" t="n">
        <v>91800</v>
      </c>
      <c r="N241" s="44" t="n">
        <v>0.08</v>
      </c>
      <c r="O241" s="1" t="n">
        <v>58568.7</v>
      </c>
      <c r="P241" s="37" t="n">
        <v>3304800</v>
      </c>
      <c r="Q241" s="37" t="n">
        <v>3040416</v>
      </c>
      <c r="R241" s="37" t="n">
        <v>931942.8</v>
      </c>
      <c r="S241" s="1" t="s">
        <v>97</v>
      </c>
    </row>
    <row r="242" customFormat="false" ht="15" hidden="false" customHeight="true" outlineLevel="0" collapsed="false">
      <c r="A242" s="43" t="n">
        <v>45319</v>
      </c>
      <c r="B242" s="1" t="n">
        <v>2024</v>
      </c>
      <c r="C242" s="1" t="s">
        <v>50</v>
      </c>
      <c r="D242" s="1" t="s">
        <v>90</v>
      </c>
      <c r="E242" s="1" t="s">
        <v>129</v>
      </c>
      <c r="F242" s="1" t="s">
        <v>151</v>
      </c>
      <c r="G242" s="1" t="s">
        <v>213</v>
      </c>
      <c r="H242" s="1" t="s">
        <v>45</v>
      </c>
      <c r="I242" s="1" t="s">
        <v>38</v>
      </c>
      <c r="J242" s="1" t="s">
        <v>95</v>
      </c>
      <c r="K242" s="1" t="s">
        <v>96</v>
      </c>
      <c r="L242" s="1" t="n">
        <v>40</v>
      </c>
      <c r="M242" s="37" t="n">
        <v>62941</v>
      </c>
      <c r="N242" s="44" t="n">
        <v>0</v>
      </c>
      <c r="O242" s="1" t="n">
        <v>47078.97</v>
      </c>
      <c r="P242" s="37" t="n">
        <v>2517640</v>
      </c>
      <c r="Q242" s="37" t="n">
        <v>2517640</v>
      </c>
      <c r="R242" s="37" t="n">
        <v>634481.2</v>
      </c>
      <c r="S242" s="1" t="s">
        <v>111</v>
      </c>
    </row>
    <row r="243" customFormat="false" ht="15" hidden="false" customHeight="true" outlineLevel="0" collapsed="false">
      <c r="A243" s="43" t="n">
        <v>45346</v>
      </c>
      <c r="B243" s="1" t="n">
        <v>2024</v>
      </c>
      <c r="C243" s="1" t="s">
        <v>53</v>
      </c>
      <c r="D243" s="1" t="s">
        <v>90</v>
      </c>
      <c r="E243" s="1" t="s">
        <v>129</v>
      </c>
      <c r="F243" s="1" t="s">
        <v>121</v>
      </c>
      <c r="G243" s="1" t="s">
        <v>157</v>
      </c>
      <c r="H243" s="1" t="s">
        <v>36</v>
      </c>
      <c r="I243" s="1" t="s">
        <v>116</v>
      </c>
      <c r="J243" s="1" t="s">
        <v>117</v>
      </c>
      <c r="K243" s="1" t="s">
        <v>96</v>
      </c>
      <c r="L243" s="1" t="n">
        <v>16</v>
      </c>
      <c r="M243" s="37" t="n">
        <v>174402</v>
      </c>
      <c r="N243" s="44" t="n">
        <v>0.15</v>
      </c>
      <c r="O243" s="1" t="n">
        <v>97878.78</v>
      </c>
      <c r="P243" s="37" t="n">
        <v>2790432</v>
      </c>
      <c r="Q243" s="37" t="n">
        <v>2371867.2</v>
      </c>
      <c r="R243" s="37" t="n">
        <v>805806.72</v>
      </c>
      <c r="S243" s="1" t="s">
        <v>125</v>
      </c>
    </row>
    <row r="244" customFormat="false" ht="15" hidden="false" customHeight="true" outlineLevel="0" collapsed="false">
      <c r="A244" s="43" t="n">
        <v>45377</v>
      </c>
      <c r="B244" s="1" t="n">
        <v>2024</v>
      </c>
      <c r="C244" s="1" t="s">
        <v>56</v>
      </c>
      <c r="D244" s="1" t="s">
        <v>90</v>
      </c>
      <c r="E244" s="1" t="s">
        <v>113</v>
      </c>
      <c r="F244" s="1" t="s">
        <v>138</v>
      </c>
      <c r="G244" s="1" t="s">
        <v>209</v>
      </c>
      <c r="H244" s="1" t="s">
        <v>39</v>
      </c>
      <c r="I244" s="1" t="s">
        <v>155</v>
      </c>
      <c r="J244" s="1" t="s">
        <v>150</v>
      </c>
      <c r="K244" s="1" t="s">
        <v>133</v>
      </c>
      <c r="L244" s="1" t="n">
        <v>16</v>
      </c>
      <c r="M244" s="37" t="n">
        <v>179991</v>
      </c>
      <c r="N244" s="44"/>
      <c r="O244" s="1" t="n">
        <v>89456.79</v>
      </c>
      <c r="P244" s="37" t="n">
        <v>2879856</v>
      </c>
      <c r="Q244" s="37" t="n">
        <v>2879856</v>
      </c>
      <c r="R244" s="37" t="n">
        <v>1448547.36</v>
      </c>
      <c r="S244" s="1" t="s">
        <v>172</v>
      </c>
    </row>
    <row r="245" customFormat="false" ht="15" hidden="false" customHeight="true" outlineLevel="0" collapsed="false">
      <c r="A245" s="43" t="n">
        <v>45386</v>
      </c>
      <c r="B245" s="1" t="n">
        <v>2024</v>
      </c>
      <c r="C245" s="1" t="s">
        <v>59</v>
      </c>
      <c r="D245" s="1" t="s">
        <v>112</v>
      </c>
      <c r="E245" s="1" t="s">
        <v>120</v>
      </c>
      <c r="F245" s="1" t="s">
        <v>140</v>
      </c>
      <c r="G245" s="1" t="s">
        <v>175</v>
      </c>
      <c r="H245" s="1" t="s">
        <v>43</v>
      </c>
      <c r="I245" s="1" t="s">
        <v>33</v>
      </c>
      <c r="J245" s="1" t="s">
        <v>148</v>
      </c>
      <c r="K245" s="1" t="s">
        <v>103</v>
      </c>
      <c r="L245" s="1" t="n">
        <v>18</v>
      </c>
      <c r="M245" s="37" t="n">
        <v>48700</v>
      </c>
      <c r="N245" s="44" t="n">
        <v>0.15</v>
      </c>
      <c r="O245" s="1" t="n">
        <v>26401.83</v>
      </c>
      <c r="P245" s="37" t="n">
        <v>876600</v>
      </c>
      <c r="Q245" s="37"/>
      <c r="R245" s="37" t="n">
        <v>269877.06</v>
      </c>
      <c r="S245" s="1" t="s">
        <v>172</v>
      </c>
    </row>
    <row r="246" customFormat="false" ht="15" hidden="false" customHeight="true" outlineLevel="0" collapsed="false">
      <c r="A246" s="43" t="n">
        <v>45431</v>
      </c>
      <c r="B246" s="1" t="n">
        <v>2024</v>
      </c>
      <c r="C246" s="1" t="s">
        <v>62</v>
      </c>
      <c r="D246" s="1" t="s">
        <v>112</v>
      </c>
      <c r="E246" s="1" t="s">
        <v>98</v>
      </c>
      <c r="F246" s="1" t="s">
        <v>160</v>
      </c>
      <c r="G246" s="1" t="s">
        <v>194</v>
      </c>
      <c r="H246" s="1" t="s">
        <v>44</v>
      </c>
      <c r="I246" s="1" t="s">
        <v>108</v>
      </c>
      <c r="J246" s="1" t="s">
        <v>109</v>
      </c>
      <c r="K246" s="1" t="s">
        <v>110</v>
      </c>
      <c r="L246" s="1" t="n">
        <v>17</v>
      </c>
      <c r="M246" s="37" t="n">
        <v>153473</v>
      </c>
      <c r="N246" s="44" t="n">
        <v>0.1</v>
      </c>
      <c r="O246" s="1" t="n">
        <v>88713</v>
      </c>
      <c r="P246" s="37" t="n">
        <v>2609041</v>
      </c>
      <c r="Q246" s="37" t="n">
        <v>2348136.9</v>
      </c>
      <c r="R246" s="37" t="n">
        <v>840015.9</v>
      </c>
      <c r="S246" s="1" t="s">
        <v>104</v>
      </c>
    </row>
    <row r="247" customFormat="false" ht="15" hidden="false" customHeight="true" outlineLevel="0" collapsed="false">
      <c r="A247" s="43" t="n">
        <v>45446</v>
      </c>
      <c r="B247" s="1" t="n">
        <v>2024</v>
      </c>
      <c r="C247" s="1" t="s">
        <v>65</v>
      </c>
      <c r="D247" s="1" t="s">
        <v>112</v>
      </c>
      <c r="E247" s="1" t="s">
        <v>98</v>
      </c>
      <c r="F247" s="1" t="s">
        <v>134</v>
      </c>
      <c r="G247" s="1" t="s">
        <v>178</v>
      </c>
      <c r="H247" s="1" t="s">
        <v>43</v>
      </c>
      <c r="I247" s="1" t="s">
        <v>101</v>
      </c>
      <c r="J247" s="1" t="s">
        <v>148</v>
      </c>
      <c r="K247" s="1" t="s">
        <v>103</v>
      </c>
      <c r="L247" s="1" t="n">
        <v>40</v>
      </c>
      <c r="M247" s="37" t="n">
        <v>146777</v>
      </c>
      <c r="N247" s="44" t="n">
        <v>0.1</v>
      </c>
      <c r="O247" s="1" t="n">
        <v>75252.69</v>
      </c>
      <c r="P247" s="37" t="n">
        <v>5871080</v>
      </c>
      <c r="Q247" s="37" t="n">
        <v>5283972</v>
      </c>
      <c r="R247" s="37" t="n">
        <v>2273864.4</v>
      </c>
      <c r="S247" s="1" t="s">
        <v>111</v>
      </c>
    </row>
    <row r="248" customFormat="false" ht="15" hidden="false" customHeight="true" outlineLevel="0" collapsed="false">
      <c r="A248" s="43" t="n">
        <v>45481</v>
      </c>
      <c r="B248" s="1" t="n">
        <v>2024</v>
      </c>
      <c r="C248" s="1" t="s">
        <v>66</v>
      </c>
      <c r="D248" s="1" t="s">
        <v>126</v>
      </c>
      <c r="E248" s="1" t="s">
        <v>105</v>
      </c>
      <c r="F248" s="1" t="s">
        <v>138</v>
      </c>
      <c r="G248" s="1" t="s">
        <v>152</v>
      </c>
      <c r="H248" s="1" t="s">
        <v>32</v>
      </c>
      <c r="I248" s="1" t="s">
        <v>116</v>
      </c>
      <c r="J248" s="1" t="s">
        <v>176</v>
      </c>
      <c r="K248" s="1" t="s">
        <v>133</v>
      </c>
      <c r="L248" s="1" t="n">
        <v>24</v>
      </c>
      <c r="M248" s="37" t="n">
        <v>66204</v>
      </c>
      <c r="N248" s="44"/>
      <c r="O248" s="1" t="n">
        <v>38784.46</v>
      </c>
      <c r="P248" s="37" t="n">
        <v>1588896</v>
      </c>
      <c r="Q248" s="37" t="n">
        <v>1588896</v>
      </c>
      <c r="R248" s="37" t="n">
        <v>658068.96</v>
      </c>
      <c r="S248" s="1" t="s">
        <v>125</v>
      </c>
    </row>
    <row r="249" customFormat="false" ht="15" hidden="false" customHeight="true" outlineLevel="0" collapsed="false">
      <c r="A249" s="43" t="n">
        <v>45531</v>
      </c>
      <c r="B249" s="1" t="n">
        <v>2024</v>
      </c>
      <c r="C249" s="1" t="s">
        <v>69</v>
      </c>
      <c r="D249" s="1" t="s">
        <v>126</v>
      </c>
      <c r="E249" s="1" t="s">
        <v>113</v>
      </c>
      <c r="F249" s="1" t="s">
        <v>92</v>
      </c>
      <c r="G249" s="1" t="s">
        <v>135</v>
      </c>
      <c r="H249" s="1" t="s">
        <v>45</v>
      </c>
      <c r="I249" s="1" t="s">
        <v>155</v>
      </c>
      <c r="J249" s="1" t="s">
        <v>95</v>
      </c>
      <c r="K249" s="1" t="s">
        <v>110</v>
      </c>
      <c r="L249" s="1" t="n">
        <v>12</v>
      </c>
      <c r="M249" s="37" t="n">
        <v>111226</v>
      </c>
      <c r="N249" s="44" t="n">
        <v>0.05</v>
      </c>
      <c r="O249" s="1" t="n">
        <v>70164.92</v>
      </c>
      <c r="P249" s="37" t="n">
        <v>1334712</v>
      </c>
      <c r="Q249" s="37" t="n">
        <v>1267976.4</v>
      </c>
      <c r="R249" s="37" t="n">
        <v>425997.36</v>
      </c>
      <c r="S249" s="1" t="s">
        <v>125</v>
      </c>
    </row>
    <row r="250" customFormat="false" ht="15" hidden="false" customHeight="true" outlineLevel="0" collapsed="false">
      <c r="A250" s="43" t="n">
        <v>45561</v>
      </c>
      <c r="B250" s="1" t="n">
        <v>2024</v>
      </c>
      <c r="C250" s="1" t="s">
        <v>72</v>
      </c>
      <c r="D250" s="1" t="s">
        <v>126</v>
      </c>
      <c r="E250" s="1" t="s">
        <v>98</v>
      </c>
      <c r="F250" s="1" t="s">
        <v>160</v>
      </c>
      <c r="G250" s="1" t="s">
        <v>205</v>
      </c>
      <c r="H250" s="1" t="s">
        <v>42</v>
      </c>
      <c r="I250" s="1" t="s">
        <v>101</v>
      </c>
      <c r="J250" s="1" t="s">
        <v>128</v>
      </c>
      <c r="K250" s="1" t="s">
        <v>96</v>
      </c>
      <c r="L250" s="1" t="n">
        <v>29</v>
      </c>
      <c r="M250" s="37" t="n">
        <v>32208</v>
      </c>
      <c r="N250" s="44" t="n">
        <v>0.2</v>
      </c>
      <c r="O250" s="1" t="n">
        <v>16877.99</v>
      </c>
      <c r="P250" s="37" t="n">
        <v>934032</v>
      </c>
      <c r="Q250" s="37" t="n">
        <v>747225.6</v>
      </c>
      <c r="R250" s="37" t="n">
        <v>257763.89</v>
      </c>
      <c r="S250" s="1" t="s">
        <v>104</v>
      </c>
    </row>
    <row r="251" customFormat="false" ht="15" hidden="false" customHeight="true" outlineLevel="0" collapsed="false">
      <c r="A251" s="43" t="n">
        <v>45589</v>
      </c>
      <c r="B251" s="1" t="n">
        <v>2024</v>
      </c>
      <c r="C251" s="1" t="s">
        <v>75</v>
      </c>
      <c r="D251" s="1" t="s">
        <v>136</v>
      </c>
      <c r="E251" s="1" t="s">
        <v>91</v>
      </c>
      <c r="F251" s="1" t="s">
        <v>121</v>
      </c>
      <c r="G251" s="1" t="s">
        <v>179</v>
      </c>
      <c r="H251" s="1" t="s">
        <v>39</v>
      </c>
      <c r="I251" s="1" t="s">
        <v>38</v>
      </c>
      <c r="J251" s="1" t="s">
        <v>150</v>
      </c>
      <c r="K251" s="1" t="s">
        <v>96</v>
      </c>
      <c r="L251" s="1" t="n">
        <v>38</v>
      </c>
      <c r="M251" s="37" t="n">
        <v>478856</v>
      </c>
      <c r="N251" s="44" t="n">
        <v>0</v>
      </c>
      <c r="O251" s="1" t="n">
        <v>236918.69</v>
      </c>
      <c r="P251" s="37" t="n">
        <v>18196528</v>
      </c>
      <c r="Q251" s="37" t="n">
        <v>18196528</v>
      </c>
      <c r="R251" s="37" t="n">
        <v>9193617.78</v>
      </c>
      <c r="S251" s="1" t="s">
        <v>111</v>
      </c>
    </row>
    <row r="252" customFormat="false" ht="15" hidden="false" customHeight="true" outlineLevel="0" collapsed="false">
      <c r="A252" s="43" t="n">
        <v>45605</v>
      </c>
      <c r="B252" s="1" t="n">
        <v>2024</v>
      </c>
      <c r="C252" s="1" t="s">
        <v>76</v>
      </c>
      <c r="D252" s="1" t="s">
        <v>136</v>
      </c>
      <c r="E252" s="1" t="s">
        <v>120</v>
      </c>
      <c r="F252" s="1" t="s">
        <v>158</v>
      </c>
      <c r="G252" s="1" t="s">
        <v>214</v>
      </c>
      <c r="H252" s="1" t="s">
        <v>35</v>
      </c>
      <c r="I252" s="1" t="s">
        <v>33</v>
      </c>
      <c r="J252" s="1" t="s">
        <v>132</v>
      </c>
      <c r="K252" s="1" t="s">
        <v>123</v>
      </c>
      <c r="L252" s="1" t="n">
        <v>19</v>
      </c>
      <c r="M252" s="37" t="n">
        <v>68778</v>
      </c>
      <c r="N252" s="44" t="n">
        <v>0.12</v>
      </c>
      <c r="O252" s="1" t="n">
        <v>51828.06</v>
      </c>
      <c r="P252" s="37" t="n">
        <v>1306782</v>
      </c>
      <c r="Q252" s="37" t="n">
        <v>1149968.16</v>
      </c>
      <c r="R252" s="37" t="n">
        <v>165235.02</v>
      </c>
      <c r="S252" s="1" t="s">
        <v>104</v>
      </c>
    </row>
    <row r="253" customFormat="false" ht="15" hidden="false" customHeight="true" outlineLevel="0" collapsed="false">
      <c r="A253" s="43" t="n">
        <v>45648</v>
      </c>
      <c r="B253" s="1" t="n">
        <v>2024</v>
      </c>
      <c r="C253" s="1" t="s">
        <v>77</v>
      </c>
      <c r="D253" s="1" t="s">
        <v>136</v>
      </c>
      <c r="E253" s="1" t="s">
        <v>129</v>
      </c>
      <c r="F253" s="1" t="s">
        <v>134</v>
      </c>
      <c r="G253" s="1" t="s">
        <v>173</v>
      </c>
      <c r="H253" s="1" t="s">
        <v>44</v>
      </c>
      <c r="I253" s="1" t="s">
        <v>108</v>
      </c>
      <c r="J253" s="1" t="s">
        <v>109</v>
      </c>
      <c r="K253" s="1" t="s">
        <v>118</v>
      </c>
      <c r="L253" s="1" t="n">
        <v>39</v>
      </c>
      <c r="M253" s="37" t="n">
        <v>72244</v>
      </c>
      <c r="N253" s="44" t="n">
        <v>0.1</v>
      </c>
      <c r="O253" s="1" t="n">
        <v>35255.04</v>
      </c>
      <c r="P253" s="37" t="n">
        <v>2817516</v>
      </c>
      <c r="Q253" s="37" t="n">
        <v>2535764.4</v>
      </c>
      <c r="R253" s="37" t="n">
        <v>1160817.84</v>
      </c>
      <c r="S253" s="1" t="s">
        <v>104</v>
      </c>
    </row>
    <row r="254" customFormat="false" ht="15" hidden="false" customHeight="true" outlineLevel="0" collapsed="false">
      <c r="A254" s="43" t="n">
        <v>45297</v>
      </c>
      <c r="B254" s="1" t="n">
        <v>2024</v>
      </c>
      <c r="C254" s="1" t="s">
        <v>50</v>
      </c>
      <c r="D254" s="1" t="s">
        <v>90</v>
      </c>
      <c r="E254" s="1" t="s">
        <v>98</v>
      </c>
      <c r="F254" s="1" t="s">
        <v>160</v>
      </c>
      <c r="G254" s="1" t="s">
        <v>139</v>
      </c>
      <c r="H254" s="1" t="s">
        <v>34</v>
      </c>
      <c r="I254" s="1" t="s">
        <v>116</v>
      </c>
      <c r="J254" s="1" t="s">
        <v>132</v>
      </c>
      <c r="K254" s="1" t="s">
        <v>110</v>
      </c>
      <c r="L254" s="1" t="n">
        <v>8</v>
      </c>
      <c r="M254" s="37" t="n">
        <v>46164</v>
      </c>
      <c r="N254" s="44" t="n">
        <v>0</v>
      </c>
      <c r="O254" s="1" t="n">
        <v>35266.49</v>
      </c>
      <c r="P254" s="37" t="n">
        <v>369312</v>
      </c>
      <c r="Q254" s="37" t="n">
        <v>369312</v>
      </c>
      <c r="R254" s="37" t="n">
        <v>87180.08</v>
      </c>
      <c r="S254" s="1" t="s">
        <v>172</v>
      </c>
    </row>
    <row r="255" customFormat="false" ht="15" hidden="false" customHeight="true" outlineLevel="0" collapsed="false">
      <c r="A255" s="43" t="n">
        <v>45330</v>
      </c>
      <c r="B255" s="1" t="n">
        <v>2024</v>
      </c>
      <c r="C255" s="1" t="s">
        <v>53</v>
      </c>
      <c r="D255" s="1" t="s">
        <v>90</v>
      </c>
      <c r="E255" s="1" t="s">
        <v>105</v>
      </c>
      <c r="F255" s="1" t="s">
        <v>121</v>
      </c>
      <c r="G255" s="1" t="s">
        <v>198</v>
      </c>
      <c r="H255" s="1" t="s">
        <v>40</v>
      </c>
      <c r="I255" s="1" t="s">
        <v>108</v>
      </c>
      <c r="J255" s="1" t="s">
        <v>145</v>
      </c>
      <c r="K255" s="1" t="s">
        <v>110</v>
      </c>
      <c r="L255" s="1" t="n">
        <v>37</v>
      </c>
      <c r="M255" s="37" t="n">
        <v>47096</v>
      </c>
      <c r="N255" s="44" t="n">
        <v>0.15</v>
      </c>
      <c r="O255" s="1" t="n">
        <v>36194.68</v>
      </c>
      <c r="P255" s="37" t="n">
        <v>1742552</v>
      </c>
      <c r="Q255" s="37" t="n">
        <v>1481169.2</v>
      </c>
      <c r="R255" s="37" t="n">
        <v>141966.04</v>
      </c>
      <c r="S255" s="1" t="s">
        <v>97</v>
      </c>
    </row>
    <row r="256" customFormat="false" ht="15" hidden="false" customHeight="true" outlineLevel="0" collapsed="false">
      <c r="A256" s="43" t="n">
        <v>45377</v>
      </c>
      <c r="B256" s="1" t="n">
        <v>2024</v>
      </c>
      <c r="C256" s="1" t="s">
        <v>56</v>
      </c>
      <c r="D256" s="1" t="s">
        <v>90</v>
      </c>
      <c r="E256" s="1" t="s">
        <v>91</v>
      </c>
      <c r="F256" s="1" t="s">
        <v>160</v>
      </c>
      <c r="G256" s="1" t="s">
        <v>171</v>
      </c>
      <c r="H256" s="1" t="s">
        <v>46</v>
      </c>
      <c r="I256" s="1" t="s">
        <v>116</v>
      </c>
      <c r="J256" s="1" t="s">
        <v>102</v>
      </c>
      <c r="K256" s="1" t="s">
        <v>146</v>
      </c>
      <c r="L256" s="1" t="n">
        <v>25</v>
      </c>
      <c r="M256" s="37" t="n">
        <v>94811</v>
      </c>
      <c r="N256" s="44" t="n">
        <v>0.05</v>
      </c>
      <c r="O256" s="1" t="n">
        <v>47801.1</v>
      </c>
      <c r="P256" s="37" t="n">
        <v>2370275</v>
      </c>
      <c r="Q256" s="37" t="n">
        <v>2251761.25</v>
      </c>
      <c r="R256" s="37" t="n">
        <v>1056733.75</v>
      </c>
      <c r="S256" s="1" t="s">
        <v>172</v>
      </c>
    </row>
    <row r="257" customFormat="false" ht="15" hidden="false" customHeight="true" outlineLevel="0" collapsed="false">
      <c r="A257" s="43" t="n">
        <v>45404</v>
      </c>
      <c r="B257" s="1" t="n">
        <v>2024</v>
      </c>
      <c r="C257" s="1" t="s">
        <v>59</v>
      </c>
      <c r="D257" s="1" t="s">
        <v>112</v>
      </c>
      <c r="E257" s="1" t="s">
        <v>98</v>
      </c>
      <c r="F257" s="1" t="s">
        <v>99</v>
      </c>
      <c r="G257" s="1" t="s">
        <v>179</v>
      </c>
      <c r="H257" s="1" t="s">
        <v>37</v>
      </c>
      <c r="I257" s="1" t="s">
        <v>38</v>
      </c>
      <c r="J257" s="1" t="s">
        <v>150</v>
      </c>
      <c r="K257" s="1" t="s">
        <v>96</v>
      </c>
      <c r="L257" s="1" t="n">
        <v>24</v>
      </c>
      <c r="M257" s="37" t="n">
        <v>138814</v>
      </c>
      <c r="N257" s="44" t="n">
        <v>0.2</v>
      </c>
      <c r="O257" s="1" t="n">
        <v>90531.42</v>
      </c>
      <c r="P257" s="37" t="n">
        <v>3331536</v>
      </c>
      <c r="Q257" s="37" t="n">
        <v>2665228.8</v>
      </c>
      <c r="R257" s="37" t="n">
        <v>492474.72</v>
      </c>
      <c r="S257" s="1" t="s">
        <v>172</v>
      </c>
    </row>
    <row r="258" customFormat="false" ht="15" hidden="false" customHeight="true" outlineLevel="0" collapsed="false">
      <c r="A258" s="43" t="n">
        <v>45438</v>
      </c>
      <c r="B258" s="1" t="n">
        <v>2024</v>
      </c>
      <c r="C258" s="1" t="s">
        <v>62</v>
      </c>
      <c r="D258" s="1" t="s">
        <v>112</v>
      </c>
      <c r="E258" s="1" t="s">
        <v>137</v>
      </c>
      <c r="F258" s="1" t="s">
        <v>151</v>
      </c>
      <c r="H258" s="1" t="s">
        <v>42</v>
      </c>
      <c r="I258" s="1" t="s">
        <v>101</v>
      </c>
      <c r="J258" s="1" t="s">
        <v>128</v>
      </c>
      <c r="K258" s="1" t="s">
        <v>110</v>
      </c>
      <c r="L258" s="1" t="n">
        <v>26</v>
      </c>
      <c r="M258" s="37" t="n">
        <v>156330</v>
      </c>
      <c r="N258" s="44" t="n">
        <v>0</v>
      </c>
      <c r="O258" s="1" t="n">
        <v>79143.36</v>
      </c>
      <c r="P258" s="37" t="n">
        <v>4064580</v>
      </c>
      <c r="Q258" s="37" t="n">
        <v>4064580</v>
      </c>
      <c r="R258" s="37" t="n">
        <v>2006852.64</v>
      </c>
      <c r="S258" s="1" t="s">
        <v>172</v>
      </c>
    </row>
    <row r="259" customFormat="false" ht="15" hidden="false" customHeight="true" outlineLevel="0" collapsed="false">
      <c r="A259" s="43" t="n">
        <v>45446</v>
      </c>
      <c r="B259" s="1" t="n">
        <v>2024</v>
      </c>
      <c r="C259" s="1" t="s">
        <v>65</v>
      </c>
      <c r="D259" s="1" t="s">
        <v>112</v>
      </c>
      <c r="E259" s="1" t="s">
        <v>113</v>
      </c>
      <c r="F259" s="1" t="s">
        <v>99</v>
      </c>
      <c r="G259" s="1" t="s">
        <v>175</v>
      </c>
      <c r="H259" s="1" t="s">
        <v>34</v>
      </c>
      <c r="I259" s="1" t="s">
        <v>33</v>
      </c>
      <c r="J259" s="1" t="s">
        <v>132</v>
      </c>
      <c r="K259" s="1" t="s">
        <v>110</v>
      </c>
      <c r="L259" s="1" t="n">
        <v>3</v>
      </c>
      <c r="M259" s="37" t="n">
        <v>117026</v>
      </c>
      <c r="N259" s="44" t="n">
        <v>0.2</v>
      </c>
      <c r="O259" s="1" t="n">
        <v>81808.43</v>
      </c>
      <c r="P259" s="37" t="n">
        <v>351078</v>
      </c>
      <c r="Q259" s="37" t="n">
        <v>280862.4</v>
      </c>
      <c r="R259" s="37" t="n">
        <v>35437.11</v>
      </c>
      <c r="S259" s="1" t="s">
        <v>111</v>
      </c>
    </row>
    <row r="260" customFormat="false" ht="15" hidden="false" customHeight="true" outlineLevel="0" collapsed="false">
      <c r="A260" s="43" t="n">
        <v>45501</v>
      </c>
      <c r="B260" s="1" t="n">
        <v>2024</v>
      </c>
      <c r="C260" s="1" t="s">
        <v>66</v>
      </c>
      <c r="D260" s="1" t="s">
        <v>126</v>
      </c>
      <c r="E260" s="1" t="s">
        <v>137</v>
      </c>
      <c r="F260" s="1" t="s">
        <v>158</v>
      </c>
      <c r="H260" s="1" t="s">
        <v>36</v>
      </c>
      <c r="I260" s="1" t="s">
        <v>101</v>
      </c>
      <c r="J260" s="1" t="s">
        <v>117</v>
      </c>
      <c r="K260" s="1" t="s">
        <v>146</v>
      </c>
      <c r="L260" s="1" t="n">
        <v>39</v>
      </c>
      <c r="M260" s="37" t="n">
        <v>72731</v>
      </c>
      <c r="N260" s="44" t="n">
        <v>0</v>
      </c>
      <c r="O260" s="1" t="n">
        <v>41886.44</v>
      </c>
      <c r="P260" s="37" t="n">
        <v>2836509</v>
      </c>
      <c r="Q260" s="37" t="n">
        <v>2836509</v>
      </c>
      <c r="R260" s="37" t="n">
        <v>1202937.84</v>
      </c>
      <c r="S260" s="1" t="s">
        <v>172</v>
      </c>
    </row>
    <row r="261" customFormat="false" ht="15" hidden="false" customHeight="true" outlineLevel="0" collapsed="false">
      <c r="A261" s="43" t="n">
        <v>45517</v>
      </c>
      <c r="B261" s="1" t="n">
        <v>2024</v>
      </c>
      <c r="C261" s="1" t="s">
        <v>69</v>
      </c>
      <c r="D261" s="1" t="s">
        <v>126</v>
      </c>
      <c r="E261" s="1" t="s">
        <v>98</v>
      </c>
      <c r="F261" s="1" t="s">
        <v>160</v>
      </c>
      <c r="G261" s="1" t="s">
        <v>171</v>
      </c>
      <c r="H261" s="1" t="s">
        <v>45</v>
      </c>
      <c r="I261" s="1" t="s">
        <v>38</v>
      </c>
      <c r="J261" s="1" t="s">
        <v>95</v>
      </c>
      <c r="K261" s="1" t="s">
        <v>146</v>
      </c>
      <c r="L261" s="1" t="n">
        <v>5</v>
      </c>
      <c r="M261" s="37" t="n">
        <v>156072</v>
      </c>
      <c r="N261" s="44"/>
      <c r="O261" s="1" t="n">
        <v>89213.3</v>
      </c>
      <c r="P261" s="37" t="n">
        <v>780360</v>
      </c>
      <c r="Q261" s="37" t="n">
        <v>780360</v>
      </c>
      <c r="R261" s="37" t="n">
        <v>334293.5</v>
      </c>
      <c r="S261" s="1" t="s">
        <v>119</v>
      </c>
    </row>
    <row r="262" customFormat="false" ht="15" hidden="false" customHeight="true" outlineLevel="0" collapsed="false">
      <c r="A262" s="43" t="n">
        <v>45541</v>
      </c>
      <c r="B262" s="1" t="n">
        <v>2024</v>
      </c>
      <c r="C262" s="1" t="s">
        <v>72</v>
      </c>
      <c r="D262" s="1" t="s">
        <v>126</v>
      </c>
      <c r="E262" s="1" t="s">
        <v>98</v>
      </c>
      <c r="F262" s="1" t="s">
        <v>160</v>
      </c>
      <c r="G262" s="1" t="s">
        <v>165</v>
      </c>
      <c r="H262" s="1" t="s">
        <v>37</v>
      </c>
      <c r="I262" s="1" t="s">
        <v>38</v>
      </c>
      <c r="J262" s="1" t="s">
        <v>150</v>
      </c>
      <c r="K262" s="1" t="s">
        <v>110</v>
      </c>
      <c r="L262" s="1" t="n">
        <v>19</v>
      </c>
      <c r="M262" s="37" t="n">
        <v>42673</v>
      </c>
      <c r="N262" s="44" t="n">
        <v>0.2</v>
      </c>
      <c r="O262" s="1" t="n">
        <v>32288.08</v>
      </c>
      <c r="P262" s="37" t="n">
        <v>810787</v>
      </c>
      <c r="Q262" s="37" t="n">
        <v>648629.6</v>
      </c>
      <c r="R262" s="37" t="n">
        <v>35156.08</v>
      </c>
      <c r="S262" s="1" t="s">
        <v>111</v>
      </c>
    </row>
    <row r="263" customFormat="false" ht="15" hidden="false" customHeight="true" outlineLevel="0" collapsed="false">
      <c r="A263" s="43" t="n">
        <v>45590</v>
      </c>
      <c r="B263" s="1" t="n">
        <v>2024</v>
      </c>
      <c r="C263" s="1" t="s">
        <v>75</v>
      </c>
      <c r="D263" s="1" t="s">
        <v>136</v>
      </c>
      <c r="E263" s="1" t="s">
        <v>98</v>
      </c>
      <c r="F263" s="1" t="s">
        <v>92</v>
      </c>
      <c r="G263" s="1" t="s">
        <v>204</v>
      </c>
      <c r="H263" s="1" t="s">
        <v>39</v>
      </c>
      <c r="I263" s="1" t="s">
        <v>94</v>
      </c>
      <c r="J263" s="1" t="s">
        <v>150</v>
      </c>
      <c r="K263" s="1" t="s">
        <v>118</v>
      </c>
      <c r="L263" s="1" t="n">
        <v>8</v>
      </c>
      <c r="M263" s="37" t="n">
        <v>112315</v>
      </c>
      <c r="N263" s="44" t="n">
        <v>0.15</v>
      </c>
      <c r="O263" s="1" t="n">
        <v>77151.37</v>
      </c>
      <c r="P263" s="37" t="n">
        <v>898520</v>
      </c>
      <c r="Q263" s="37" t="n">
        <v>763742</v>
      </c>
      <c r="R263" s="37" t="n">
        <v>146531.04</v>
      </c>
      <c r="S263" s="1" t="s">
        <v>104</v>
      </c>
    </row>
    <row r="264" customFormat="false" ht="15" hidden="false" customHeight="true" outlineLevel="0" collapsed="false">
      <c r="A264" s="43" t="n">
        <v>45604</v>
      </c>
      <c r="B264" s="1" t="n">
        <v>2024</v>
      </c>
      <c r="C264" s="1" t="s">
        <v>76</v>
      </c>
      <c r="D264" s="1" t="s">
        <v>136</v>
      </c>
      <c r="E264" s="1" t="s">
        <v>113</v>
      </c>
      <c r="F264" s="1" t="s">
        <v>188</v>
      </c>
      <c r="G264" s="1" t="s">
        <v>173</v>
      </c>
      <c r="H264" s="1" t="s">
        <v>37</v>
      </c>
      <c r="I264" s="1" t="s">
        <v>94</v>
      </c>
      <c r="J264" s="1" t="s">
        <v>150</v>
      </c>
      <c r="K264" s="1" t="s">
        <v>146</v>
      </c>
      <c r="L264" s="1" t="n">
        <v>36</v>
      </c>
      <c r="M264" s="37" t="n">
        <v>136926</v>
      </c>
      <c r="N264" s="44" t="n">
        <v>0.15</v>
      </c>
      <c r="O264" s="1" t="n">
        <v>104476</v>
      </c>
      <c r="P264" s="37" t="n">
        <v>4929336</v>
      </c>
      <c r="Q264" s="37" t="n">
        <v>4189935.6</v>
      </c>
      <c r="R264" s="37" t="n">
        <v>428799.6</v>
      </c>
      <c r="S264" s="1" t="s">
        <v>119</v>
      </c>
    </row>
    <row r="265" customFormat="false" ht="15" hidden="false" customHeight="true" outlineLevel="0" collapsed="false">
      <c r="A265" s="43" t="n">
        <v>45634</v>
      </c>
      <c r="B265" s="1" t="n">
        <v>2024</v>
      </c>
      <c r="C265" s="1" t="s">
        <v>77</v>
      </c>
      <c r="D265" s="1" t="s">
        <v>136</v>
      </c>
      <c r="E265" s="1" t="s">
        <v>137</v>
      </c>
      <c r="F265" s="1" t="s">
        <v>99</v>
      </c>
      <c r="G265" s="1" t="s">
        <v>215</v>
      </c>
      <c r="H265" s="1" t="s">
        <v>36</v>
      </c>
      <c r="I265" s="1" t="s">
        <v>116</v>
      </c>
      <c r="J265" s="1" t="s">
        <v>117</v>
      </c>
      <c r="K265" s="1" t="s">
        <v>96</v>
      </c>
      <c r="L265" s="1" t="n">
        <v>13</v>
      </c>
      <c r="M265" s="37" t="n">
        <v>174161</v>
      </c>
      <c r="N265" s="44" t="n">
        <v>0.05</v>
      </c>
      <c r="O265" s="1" t="n">
        <v>85679.81</v>
      </c>
      <c r="P265" s="37" t="n">
        <v>2264093</v>
      </c>
      <c r="Q265" s="37" t="n">
        <v>2150888.35</v>
      </c>
      <c r="R265" s="37" t="n">
        <v>1037050.82</v>
      </c>
      <c r="S265" s="1" t="s">
        <v>97</v>
      </c>
    </row>
    <row r="266" customFormat="false" ht="15" hidden="false" customHeight="true" outlineLevel="0" collapsed="false">
      <c r="A266" s="43" t="n">
        <v>45319</v>
      </c>
      <c r="B266" s="1" t="n">
        <v>2024</v>
      </c>
      <c r="C266" s="1" t="s">
        <v>50</v>
      </c>
      <c r="D266" s="1" t="s">
        <v>90</v>
      </c>
      <c r="E266" s="1" t="s">
        <v>98</v>
      </c>
      <c r="F266" s="1" t="s">
        <v>130</v>
      </c>
      <c r="G266" s="1" t="s">
        <v>163</v>
      </c>
      <c r="H266" s="1" t="s">
        <v>32</v>
      </c>
      <c r="I266" s="1" t="s">
        <v>116</v>
      </c>
      <c r="J266" s="1" t="s">
        <v>176</v>
      </c>
      <c r="K266" s="1" t="s">
        <v>110</v>
      </c>
      <c r="L266" s="1" t="n">
        <v>18</v>
      </c>
      <c r="M266" s="37" t="n">
        <v>145990</v>
      </c>
      <c r="N266" s="44" t="n">
        <v>0.15</v>
      </c>
      <c r="O266" s="1" t="n">
        <v>104026.53</v>
      </c>
      <c r="P266" s="37" t="n">
        <v>2627820</v>
      </c>
      <c r="Q266" s="37" t="n">
        <v>2233647</v>
      </c>
      <c r="R266" s="37" t="n">
        <v>361169.46</v>
      </c>
      <c r="S266" s="1" t="s">
        <v>104</v>
      </c>
    </row>
    <row r="267" customFormat="false" ht="15" hidden="false" customHeight="true" outlineLevel="0" collapsed="false">
      <c r="A267" s="43" t="n">
        <v>45335</v>
      </c>
      <c r="B267" s="1" t="n">
        <v>2024</v>
      </c>
      <c r="C267" s="1" t="s">
        <v>53</v>
      </c>
      <c r="D267" s="1" t="s">
        <v>90</v>
      </c>
      <c r="E267" s="1" t="s">
        <v>105</v>
      </c>
      <c r="F267" s="1" t="s">
        <v>143</v>
      </c>
      <c r="G267" s="1" t="s">
        <v>107</v>
      </c>
      <c r="H267" s="1" t="s">
        <v>39</v>
      </c>
      <c r="I267" s="1" t="s">
        <v>38</v>
      </c>
      <c r="J267" s="1" t="s">
        <v>150</v>
      </c>
      <c r="K267" s="1" t="s">
        <v>146</v>
      </c>
      <c r="L267" s="1" t="n">
        <v>34</v>
      </c>
      <c r="M267" s="37" t="n">
        <v>56824</v>
      </c>
      <c r="N267" s="44" t="n">
        <v>0.15</v>
      </c>
      <c r="O267" s="1" t="n">
        <v>33117.02</v>
      </c>
      <c r="P267" s="37" t="n">
        <v>1932016</v>
      </c>
      <c r="Q267" s="37" t="n">
        <v>1642213.6</v>
      </c>
      <c r="R267" s="37" t="n">
        <v>516234.92</v>
      </c>
      <c r="S267" s="1" t="s">
        <v>97</v>
      </c>
    </row>
    <row r="268" customFormat="false" ht="15" hidden="false" customHeight="true" outlineLevel="0" collapsed="false">
      <c r="A268" s="43" t="n">
        <v>45367</v>
      </c>
      <c r="B268" s="1" t="n">
        <v>2024</v>
      </c>
      <c r="C268" s="1" t="s">
        <v>56</v>
      </c>
      <c r="D268" s="1" t="s">
        <v>90</v>
      </c>
      <c r="E268" s="1" t="s">
        <v>129</v>
      </c>
      <c r="F268" s="1" t="s">
        <v>130</v>
      </c>
      <c r="G268" s="1" t="s">
        <v>213</v>
      </c>
      <c r="H268" s="1" t="s">
        <v>37</v>
      </c>
      <c r="I268" s="1" t="s">
        <v>94</v>
      </c>
      <c r="J268" s="1" t="s">
        <v>150</v>
      </c>
      <c r="K268" s="1" t="s">
        <v>118</v>
      </c>
      <c r="L268" s="1" t="n">
        <v>28</v>
      </c>
      <c r="M268" s="37" t="n">
        <v>109598</v>
      </c>
      <c r="N268" s="44" t="n">
        <v>0.08</v>
      </c>
      <c r="O268" s="1" t="n">
        <v>60045.49</v>
      </c>
      <c r="P268" s="37" t="n">
        <v>3068744</v>
      </c>
      <c r="Q268" s="37" t="n">
        <v>2823244.48</v>
      </c>
      <c r="R268" s="37" t="n">
        <v>1141970.76</v>
      </c>
      <c r="S268" s="1" t="s">
        <v>104</v>
      </c>
    </row>
    <row r="269" customFormat="false" ht="15" hidden="false" customHeight="true" outlineLevel="0" collapsed="false">
      <c r="A269" s="43" t="n">
        <v>45408</v>
      </c>
      <c r="B269" s="1" t="n">
        <v>2024</v>
      </c>
      <c r="C269" s="1" t="s">
        <v>59</v>
      </c>
      <c r="D269" s="1" t="s">
        <v>112</v>
      </c>
      <c r="E269" s="1" t="s">
        <v>120</v>
      </c>
      <c r="F269" s="1" t="s">
        <v>158</v>
      </c>
      <c r="G269" s="1" t="s">
        <v>185</v>
      </c>
      <c r="H269" s="1" t="s">
        <v>37</v>
      </c>
      <c r="I269" s="1" t="s">
        <v>155</v>
      </c>
      <c r="J269" s="1" t="s">
        <v>150</v>
      </c>
      <c r="K269" s="1" t="s">
        <v>96</v>
      </c>
      <c r="L269" s="1" t="n">
        <v>10</v>
      </c>
      <c r="M269" s="37" t="n">
        <v>51203</v>
      </c>
      <c r="N269" s="44" t="n">
        <v>0</v>
      </c>
      <c r="O269" s="1" t="n">
        <v>26206.34</v>
      </c>
      <c r="P269" s="37" t="n">
        <v>512030</v>
      </c>
      <c r="Q269" s="37" t="n">
        <v>512030</v>
      </c>
      <c r="R269" s="37" t="n">
        <v>249966.6</v>
      </c>
      <c r="S269" s="1" t="s">
        <v>125</v>
      </c>
    </row>
    <row r="270" customFormat="false" ht="15" hidden="false" customHeight="true" outlineLevel="0" collapsed="false">
      <c r="A270" s="43" t="n">
        <v>45422</v>
      </c>
      <c r="B270" s="1" t="n">
        <v>2024</v>
      </c>
      <c r="C270" s="1" t="s">
        <v>62</v>
      </c>
      <c r="D270" s="1" t="s">
        <v>112</v>
      </c>
      <c r="E270" s="1" t="s">
        <v>113</v>
      </c>
      <c r="F270" s="1" t="s">
        <v>160</v>
      </c>
      <c r="G270" s="1" t="s">
        <v>124</v>
      </c>
      <c r="H270" s="1" t="s">
        <v>42</v>
      </c>
      <c r="I270" s="1" t="s">
        <v>101</v>
      </c>
      <c r="J270" s="1" t="s">
        <v>128</v>
      </c>
      <c r="K270" s="1" t="s">
        <v>146</v>
      </c>
      <c r="L270" s="1" t="n">
        <v>11</v>
      </c>
      <c r="M270" s="37" t="n">
        <v>78660</v>
      </c>
      <c r="N270" s="44" t="n">
        <v>0.05</v>
      </c>
      <c r="O270" s="1" t="n">
        <v>47781.95</v>
      </c>
      <c r="P270" s="37" t="n">
        <v>865260</v>
      </c>
      <c r="Q270" s="37" t="n">
        <v>821997</v>
      </c>
      <c r="R270" s="37" t="n">
        <v>296395.55</v>
      </c>
      <c r="S270" s="1" t="s">
        <v>119</v>
      </c>
    </row>
    <row r="271" customFormat="false" ht="15" hidden="false" customHeight="true" outlineLevel="0" collapsed="false">
      <c r="A271" s="43" t="n">
        <v>45457</v>
      </c>
      <c r="B271" s="1" t="n">
        <v>2024</v>
      </c>
      <c r="C271" s="1" t="s">
        <v>65</v>
      </c>
      <c r="D271" s="1" t="s">
        <v>112</v>
      </c>
      <c r="E271" s="1" t="s">
        <v>91</v>
      </c>
      <c r="F271" s="1" t="s">
        <v>134</v>
      </c>
      <c r="G271" s="1" t="s">
        <v>139</v>
      </c>
      <c r="H271" s="1" t="s">
        <v>32</v>
      </c>
      <c r="I271" s="1" t="s">
        <v>116</v>
      </c>
      <c r="J271" s="1" t="s">
        <v>176</v>
      </c>
      <c r="K271" s="1" t="s">
        <v>96</v>
      </c>
      <c r="L271" s="1" t="n">
        <v>19</v>
      </c>
      <c r="M271" s="37" t="n">
        <v>145809</v>
      </c>
      <c r="N271" s="44" t="n">
        <v>0.12</v>
      </c>
      <c r="O271" s="1" t="n">
        <v>111014.8</v>
      </c>
      <c r="P271" s="37" t="n">
        <v>2770371</v>
      </c>
      <c r="Q271" s="37" t="n">
        <v>2437926.48</v>
      </c>
      <c r="R271" s="37" t="n">
        <v>328645.28</v>
      </c>
      <c r="S271" s="1" t="s">
        <v>125</v>
      </c>
    </row>
    <row r="272" customFormat="false" ht="15" hidden="false" customHeight="true" outlineLevel="0" collapsed="false">
      <c r="A272" s="43" t="n">
        <v>45487</v>
      </c>
      <c r="B272" s="1" t="n">
        <v>2024</v>
      </c>
      <c r="C272" s="1" t="s">
        <v>66</v>
      </c>
      <c r="D272" s="1" t="s">
        <v>126</v>
      </c>
      <c r="E272" s="1" t="s">
        <v>137</v>
      </c>
      <c r="F272" s="1" t="s">
        <v>158</v>
      </c>
      <c r="G272" s="1" t="s">
        <v>165</v>
      </c>
      <c r="H272" s="1" t="s">
        <v>39</v>
      </c>
      <c r="I272" s="1" t="s">
        <v>155</v>
      </c>
      <c r="J272" s="1" t="s">
        <v>150</v>
      </c>
      <c r="K272" s="1" t="s">
        <v>146</v>
      </c>
      <c r="L272" s="1" t="n">
        <v>11</v>
      </c>
      <c r="M272" s="37" t="n">
        <v>94177</v>
      </c>
      <c r="N272" s="44" t="n">
        <v>0.2</v>
      </c>
      <c r="O272" s="1" t="n">
        <v>65796.92</v>
      </c>
      <c r="P272" s="37" t="n">
        <v>1035947</v>
      </c>
      <c r="Q272" s="37" t="n">
        <v>828757.6</v>
      </c>
      <c r="R272" s="37" t="n">
        <v>104991.48</v>
      </c>
      <c r="S272" s="1" t="s">
        <v>111</v>
      </c>
    </row>
    <row r="273" customFormat="false" ht="15" hidden="false" customHeight="true" outlineLevel="0" collapsed="false">
      <c r="A273" s="43" t="n">
        <v>45523</v>
      </c>
      <c r="B273" s="1" t="n">
        <v>2024</v>
      </c>
      <c r="C273" s="1" t="s">
        <v>69</v>
      </c>
      <c r="D273" s="1" t="s">
        <v>126</v>
      </c>
      <c r="E273" s="1" t="s">
        <v>129</v>
      </c>
      <c r="F273" s="1" t="s">
        <v>121</v>
      </c>
      <c r="G273" s="1" t="s">
        <v>197</v>
      </c>
      <c r="H273" s="1" t="s">
        <v>46</v>
      </c>
      <c r="I273" s="1" t="s">
        <v>33</v>
      </c>
      <c r="J273" s="1" t="s">
        <v>102</v>
      </c>
      <c r="K273" s="1" t="s">
        <v>96</v>
      </c>
      <c r="L273" s="1" t="n">
        <v>2</v>
      </c>
      <c r="M273" s="37" t="n">
        <v>73506</v>
      </c>
      <c r="N273" s="44" t="n">
        <v>0.05</v>
      </c>
      <c r="O273" s="1" t="n">
        <v>38495.09</v>
      </c>
      <c r="P273" s="37" t="n">
        <v>147012</v>
      </c>
      <c r="Q273" s="37" t="n">
        <v>139661.4</v>
      </c>
      <c r="R273" s="37" t="n">
        <v>62671.22</v>
      </c>
      <c r="S273" s="1" t="s">
        <v>125</v>
      </c>
    </row>
    <row r="274" customFormat="false" ht="15" hidden="false" customHeight="true" outlineLevel="0" collapsed="false">
      <c r="A274" s="43" t="n">
        <v>45552</v>
      </c>
      <c r="B274" s="1" t="n">
        <v>2024</v>
      </c>
      <c r="C274" s="1" t="s">
        <v>72</v>
      </c>
      <c r="D274" s="1" t="s">
        <v>126</v>
      </c>
      <c r="E274" s="1" t="s">
        <v>105</v>
      </c>
      <c r="F274" s="1" t="s">
        <v>114</v>
      </c>
      <c r="G274" s="1" t="s">
        <v>182</v>
      </c>
      <c r="H274" s="1" t="s">
        <v>40</v>
      </c>
      <c r="I274" s="1" t="s">
        <v>108</v>
      </c>
      <c r="J274" s="1" t="s">
        <v>145</v>
      </c>
      <c r="K274" s="1" t="s">
        <v>110</v>
      </c>
      <c r="L274" s="1" t="n">
        <v>10</v>
      </c>
      <c r="M274" s="37" t="n">
        <v>114195</v>
      </c>
      <c r="N274" s="44" t="n">
        <v>0.15</v>
      </c>
      <c r="O274" s="1" t="n">
        <v>80868.06</v>
      </c>
      <c r="P274" s="37" t="n">
        <v>1141950</v>
      </c>
      <c r="Q274" s="37" t="n">
        <v>970657.5</v>
      </c>
      <c r="R274" s="37" t="n">
        <v>161976.9</v>
      </c>
      <c r="S274" s="1" t="s">
        <v>125</v>
      </c>
    </row>
    <row r="275" customFormat="false" ht="15" hidden="false" customHeight="true" outlineLevel="0" collapsed="false">
      <c r="A275" s="43" t="n">
        <v>45593</v>
      </c>
      <c r="B275" s="1" t="n">
        <v>2024</v>
      </c>
      <c r="C275" s="1" t="s">
        <v>75</v>
      </c>
      <c r="D275" s="1" t="s">
        <v>136</v>
      </c>
      <c r="E275" s="1" t="s">
        <v>113</v>
      </c>
      <c r="F275" s="1" t="s">
        <v>121</v>
      </c>
      <c r="G275" s="1" t="s">
        <v>135</v>
      </c>
      <c r="H275" s="1" t="s">
        <v>39</v>
      </c>
      <c r="I275" s="1" t="s">
        <v>155</v>
      </c>
      <c r="J275" s="1" t="s">
        <v>150</v>
      </c>
      <c r="K275" s="1" t="s">
        <v>133</v>
      </c>
      <c r="L275" s="1" t="n">
        <v>36</v>
      </c>
      <c r="M275" s="37" t="n">
        <v>153371</v>
      </c>
      <c r="N275" s="44" t="n">
        <v>0.12</v>
      </c>
      <c r="O275" s="1" t="n">
        <v>102891.49</v>
      </c>
      <c r="P275" s="37" t="n">
        <v>5521356</v>
      </c>
      <c r="Q275" s="37" t="n">
        <v>4858793.28</v>
      </c>
      <c r="R275" s="37" t="n">
        <v>1154699.64</v>
      </c>
      <c r="S275" s="1" t="s">
        <v>172</v>
      </c>
    </row>
    <row r="276" customFormat="false" ht="15" hidden="false" customHeight="true" outlineLevel="0" collapsed="false">
      <c r="A276" s="43" t="n">
        <v>45614</v>
      </c>
      <c r="B276" s="1" t="n">
        <v>2024</v>
      </c>
      <c r="C276" s="1" t="s">
        <v>76</v>
      </c>
      <c r="D276" s="1" t="s">
        <v>136</v>
      </c>
      <c r="E276" s="1" t="s">
        <v>120</v>
      </c>
      <c r="F276" s="1" t="s">
        <v>188</v>
      </c>
      <c r="G276" s="1" t="s">
        <v>181</v>
      </c>
      <c r="H276" s="1" t="s">
        <v>42</v>
      </c>
      <c r="I276" s="1" t="s">
        <v>101</v>
      </c>
      <c r="J276" s="1" t="s">
        <v>128</v>
      </c>
      <c r="K276" s="1" t="s">
        <v>133</v>
      </c>
      <c r="L276" s="1" t="n">
        <v>27</v>
      </c>
      <c r="M276" s="37" t="n">
        <v>366316</v>
      </c>
      <c r="N276" s="44" t="n">
        <v>0.1</v>
      </c>
      <c r="O276" s="1" t="n">
        <v>208931.89</v>
      </c>
      <c r="P276" s="37" t="n">
        <v>9890532</v>
      </c>
      <c r="Q276" s="37" t="n">
        <v>8901478.8</v>
      </c>
      <c r="R276" s="37" t="n">
        <v>3260317.77</v>
      </c>
      <c r="S276" s="1" t="s">
        <v>125</v>
      </c>
    </row>
    <row r="277" customFormat="false" ht="15" hidden="false" customHeight="true" outlineLevel="0" collapsed="false">
      <c r="A277" s="43" t="n">
        <v>45651</v>
      </c>
      <c r="B277" s="1" t="n">
        <v>2024</v>
      </c>
      <c r="C277" s="1" t="s">
        <v>77</v>
      </c>
      <c r="D277" s="1" t="s">
        <v>136</v>
      </c>
      <c r="E277" s="1" t="s">
        <v>98</v>
      </c>
      <c r="F277" s="1" t="s">
        <v>134</v>
      </c>
      <c r="G277" s="1" t="s">
        <v>209</v>
      </c>
      <c r="H277" s="1" t="s">
        <v>32</v>
      </c>
      <c r="I277" s="1" t="s">
        <v>116</v>
      </c>
      <c r="J277" s="1" t="s">
        <v>176</v>
      </c>
      <c r="K277" s="1" t="s">
        <v>110</v>
      </c>
      <c r="L277" s="1" t="n">
        <v>24</v>
      </c>
      <c r="M277" s="37" t="n">
        <v>158945</v>
      </c>
      <c r="N277" s="44" t="n">
        <v>0.15</v>
      </c>
      <c r="O277" s="1" t="n">
        <v>80608.05</v>
      </c>
      <c r="P277" s="37" t="n">
        <v>3814680</v>
      </c>
      <c r="Q277" s="37" t="n">
        <v>3242478</v>
      </c>
      <c r="R277" s="37" t="n">
        <v>1307884.8</v>
      </c>
      <c r="S277" s="1" t="s">
        <v>172</v>
      </c>
    </row>
    <row r="278" customFormat="false" ht="15" hidden="false" customHeight="true" outlineLevel="0" collapsed="false">
      <c r="A278" s="43" t="n">
        <v>45308</v>
      </c>
      <c r="B278" s="1" t="n">
        <v>2024</v>
      </c>
      <c r="C278" s="1" t="s">
        <v>50</v>
      </c>
      <c r="D278" s="1" t="s">
        <v>90</v>
      </c>
      <c r="E278" s="1" t="s">
        <v>105</v>
      </c>
      <c r="F278" s="1" t="s">
        <v>158</v>
      </c>
      <c r="G278" s="1" t="s">
        <v>200</v>
      </c>
      <c r="H278" s="1" t="s">
        <v>36</v>
      </c>
      <c r="I278" s="1" t="s">
        <v>101</v>
      </c>
      <c r="J278" s="1" t="s">
        <v>117</v>
      </c>
      <c r="K278" s="1" t="s">
        <v>123</v>
      </c>
      <c r="L278" s="1" t="n">
        <v>35</v>
      </c>
      <c r="M278" s="37" t="n">
        <v>120240</v>
      </c>
      <c r="N278" s="44" t="n">
        <v>0.05</v>
      </c>
      <c r="O278" s="1" t="n">
        <v>61784.42</v>
      </c>
      <c r="P278" s="37" t="n">
        <v>4208400</v>
      </c>
      <c r="Q278" s="37" t="n">
        <v>3997980</v>
      </c>
      <c r="R278" s="37" t="n">
        <v>1835525.3</v>
      </c>
      <c r="S278" s="1" t="s">
        <v>119</v>
      </c>
    </row>
    <row r="279" customFormat="false" ht="15" hidden="false" customHeight="true" outlineLevel="0" collapsed="false">
      <c r="A279" s="43" t="n">
        <v>45333</v>
      </c>
      <c r="B279" s="1" t="n">
        <v>2024</v>
      </c>
      <c r="C279" s="1" t="s">
        <v>53</v>
      </c>
      <c r="D279" s="1" t="s">
        <v>90</v>
      </c>
      <c r="E279" s="1" t="s">
        <v>91</v>
      </c>
      <c r="F279" s="1" t="s">
        <v>151</v>
      </c>
      <c r="G279" s="1" t="s">
        <v>139</v>
      </c>
      <c r="H279" s="1" t="s">
        <v>36</v>
      </c>
      <c r="I279" s="1" t="s">
        <v>101</v>
      </c>
      <c r="J279" s="1" t="s">
        <v>117</v>
      </c>
      <c r="K279" s="1" t="s">
        <v>216</v>
      </c>
      <c r="L279" s="1" t="n">
        <v>12</v>
      </c>
      <c r="M279" s="37" t="n">
        <v>85954</v>
      </c>
      <c r="N279" s="44" t="n">
        <v>0.12</v>
      </c>
      <c r="O279" s="1" t="n">
        <v>60553.52</v>
      </c>
      <c r="P279" s="37" t="n">
        <v>1031448</v>
      </c>
      <c r="Q279" s="37" t="n">
        <v>907674.24</v>
      </c>
      <c r="R279" s="37" t="n">
        <v>181032</v>
      </c>
      <c r="S279" s="1" t="s">
        <v>104</v>
      </c>
    </row>
    <row r="280" customFormat="false" ht="15" hidden="false" customHeight="true" outlineLevel="0" collapsed="false">
      <c r="A280" s="43" t="n">
        <v>45366</v>
      </c>
      <c r="B280" s="1" t="n">
        <v>2024</v>
      </c>
      <c r="C280" s="1" t="s">
        <v>56</v>
      </c>
      <c r="D280" s="1" t="s">
        <v>90</v>
      </c>
      <c r="E280" s="1" t="s">
        <v>137</v>
      </c>
      <c r="F280" s="1" t="s">
        <v>188</v>
      </c>
      <c r="G280" s="1" t="s">
        <v>175</v>
      </c>
      <c r="H280" s="1" t="s">
        <v>39</v>
      </c>
      <c r="I280" s="1" t="s">
        <v>38</v>
      </c>
      <c r="J280" s="1" t="s">
        <v>150</v>
      </c>
      <c r="K280" s="1" t="s">
        <v>103</v>
      </c>
      <c r="L280" s="1" t="n">
        <v>10</v>
      </c>
      <c r="M280" s="37" t="n">
        <v>114871</v>
      </c>
      <c r="N280" s="44" t="n">
        <v>0.12</v>
      </c>
      <c r="O280" s="1" t="n">
        <v>58993.3</v>
      </c>
      <c r="P280" s="37" t="n">
        <v>1148710</v>
      </c>
      <c r="Q280" s="37" t="n">
        <v>1010864.8</v>
      </c>
      <c r="R280" s="37" t="n">
        <v>420931.8</v>
      </c>
      <c r="S280" s="1" t="s">
        <v>119</v>
      </c>
    </row>
    <row r="281" customFormat="false" ht="15" hidden="false" customHeight="true" outlineLevel="0" collapsed="false">
      <c r="A281" s="43" t="n">
        <v>45407</v>
      </c>
      <c r="B281" s="1" t="n">
        <v>2024</v>
      </c>
      <c r="C281" s="1" t="s">
        <v>59</v>
      </c>
      <c r="D281" s="1" t="s">
        <v>112</v>
      </c>
      <c r="E281" s="1" t="s">
        <v>98</v>
      </c>
      <c r="F281" s="1" t="s">
        <v>170</v>
      </c>
      <c r="G281" s="1" t="s">
        <v>194</v>
      </c>
      <c r="H281" s="1" t="s">
        <v>40</v>
      </c>
      <c r="I281" s="1" t="s">
        <v>108</v>
      </c>
      <c r="J281" s="1" t="s">
        <v>145</v>
      </c>
      <c r="K281" s="1" t="s">
        <v>96</v>
      </c>
      <c r="L281" s="1" t="n">
        <v>30</v>
      </c>
      <c r="M281" s="37" t="n">
        <v>36631</v>
      </c>
      <c r="N281" s="44" t="n">
        <v>0.15</v>
      </c>
      <c r="O281" s="1" t="n">
        <v>22545.98</v>
      </c>
      <c r="P281" s="37" t="n">
        <v>1098930</v>
      </c>
      <c r="Q281" s="37" t="n">
        <v>934090.5</v>
      </c>
      <c r="R281" s="37" t="n">
        <v>257711.1</v>
      </c>
      <c r="S281" s="1" t="s">
        <v>172</v>
      </c>
    </row>
    <row r="282" customFormat="false" ht="15" hidden="false" customHeight="true" outlineLevel="0" collapsed="false">
      <c r="A282" s="43" t="n">
        <v>45429</v>
      </c>
      <c r="B282" s="1" t="n">
        <v>2024</v>
      </c>
      <c r="C282" s="1" t="s">
        <v>62</v>
      </c>
      <c r="D282" s="1" t="s">
        <v>112</v>
      </c>
      <c r="E282" s="1" t="s">
        <v>91</v>
      </c>
      <c r="F282" s="1" t="s">
        <v>130</v>
      </c>
      <c r="H282" s="1" t="s">
        <v>43</v>
      </c>
      <c r="I282" s="1" t="s">
        <v>33</v>
      </c>
      <c r="J282" s="1" t="s">
        <v>148</v>
      </c>
      <c r="K282" s="1" t="s">
        <v>96</v>
      </c>
      <c r="L282" s="1" t="n">
        <v>24</v>
      </c>
      <c r="M282" s="37" t="n">
        <v>69091</v>
      </c>
      <c r="N282" s="44" t="n">
        <v>0.15</v>
      </c>
      <c r="O282" s="1" t="n">
        <v>46395.86</v>
      </c>
      <c r="P282" s="37" t="n">
        <v>1658184</v>
      </c>
      <c r="Q282" s="37" t="n">
        <v>1409456.4</v>
      </c>
      <c r="R282" s="37" t="n">
        <v>295955.76</v>
      </c>
      <c r="S282" s="1" t="s">
        <v>119</v>
      </c>
    </row>
    <row r="283" customFormat="false" ht="15" hidden="false" customHeight="true" outlineLevel="0" collapsed="false">
      <c r="A283" s="43" t="n">
        <v>45445</v>
      </c>
      <c r="B283" s="1" t="n">
        <v>2024</v>
      </c>
      <c r="C283" s="1" t="s">
        <v>65</v>
      </c>
      <c r="D283" s="1" t="s">
        <v>112</v>
      </c>
      <c r="E283" s="1" t="s">
        <v>129</v>
      </c>
      <c r="F283" s="1" t="s">
        <v>92</v>
      </c>
      <c r="G283" s="1" t="s">
        <v>127</v>
      </c>
      <c r="H283" s="1" t="s">
        <v>32</v>
      </c>
      <c r="I283" s="1" t="s">
        <v>33</v>
      </c>
      <c r="J283" s="1" t="s">
        <v>176</v>
      </c>
      <c r="K283" s="1" t="s">
        <v>133</v>
      </c>
      <c r="L283" s="1" t="n">
        <v>6</v>
      </c>
      <c r="M283" s="37" t="n">
        <v>143050</v>
      </c>
      <c r="N283" s="44"/>
      <c r="O283" s="1" t="n">
        <v>110977.77</v>
      </c>
      <c r="P283" s="37" t="n">
        <v>858300</v>
      </c>
      <c r="Q283" s="37" t="n">
        <v>858300</v>
      </c>
      <c r="R283" s="37" t="n">
        <v>192433.38</v>
      </c>
      <c r="S283" s="1" t="s">
        <v>172</v>
      </c>
    </row>
    <row r="284" customFormat="false" ht="15" hidden="false" customHeight="true" outlineLevel="0" collapsed="false">
      <c r="A284" s="43" t="n">
        <v>45489</v>
      </c>
      <c r="B284" s="1" t="n">
        <v>2024</v>
      </c>
      <c r="C284" s="1" t="s">
        <v>66</v>
      </c>
      <c r="D284" s="1" t="s">
        <v>126</v>
      </c>
      <c r="E284" s="1" t="s">
        <v>120</v>
      </c>
      <c r="F284" s="1" t="s">
        <v>130</v>
      </c>
      <c r="G284" s="1" t="s">
        <v>164</v>
      </c>
      <c r="H284" s="1" t="s">
        <v>35</v>
      </c>
      <c r="I284" s="1" t="s">
        <v>116</v>
      </c>
      <c r="J284" s="1" t="s">
        <v>132</v>
      </c>
      <c r="K284" s="1" t="s">
        <v>123</v>
      </c>
      <c r="L284" s="1" t="n">
        <v>143</v>
      </c>
      <c r="M284" s="37" t="n">
        <v>105891</v>
      </c>
      <c r="N284" s="44" t="n">
        <v>0.2</v>
      </c>
      <c r="O284" s="1" t="n">
        <v>80957.06</v>
      </c>
      <c r="P284" s="37" t="n">
        <v>15142413</v>
      </c>
      <c r="Q284" s="37" t="n">
        <v>12113930.4</v>
      </c>
      <c r="R284" s="37" t="n">
        <v>537070.82</v>
      </c>
      <c r="S284" s="1" t="s">
        <v>125</v>
      </c>
    </row>
    <row r="285" customFormat="false" ht="15" hidden="false" customHeight="true" outlineLevel="0" collapsed="false">
      <c r="A285" s="43" t="n">
        <v>45522</v>
      </c>
      <c r="B285" s="1" t="n">
        <v>2024</v>
      </c>
      <c r="C285" s="1" t="s">
        <v>69</v>
      </c>
      <c r="D285" s="1" t="s">
        <v>126</v>
      </c>
      <c r="E285" s="1" t="s">
        <v>113</v>
      </c>
      <c r="F285" s="1" t="s">
        <v>130</v>
      </c>
      <c r="G285" s="1" t="s">
        <v>100</v>
      </c>
      <c r="H285" s="1" t="s">
        <v>35</v>
      </c>
      <c r="I285" s="1" t="s">
        <v>116</v>
      </c>
      <c r="J285" s="1" t="s">
        <v>132</v>
      </c>
      <c r="K285" s="1" t="s">
        <v>103</v>
      </c>
      <c r="L285" s="1" t="n">
        <v>39</v>
      </c>
      <c r="M285" s="37" t="n">
        <v>157364</v>
      </c>
      <c r="N285" s="44" t="n">
        <v>0.1</v>
      </c>
      <c r="O285" s="1" t="n">
        <v>95564.71</v>
      </c>
      <c r="P285" s="37" t="n">
        <v>6137196</v>
      </c>
      <c r="Q285" s="37" t="n">
        <v>5523476.4</v>
      </c>
      <c r="R285" s="37" t="n">
        <v>1796452.71</v>
      </c>
      <c r="S285" s="1" t="s">
        <v>119</v>
      </c>
    </row>
    <row r="286" customFormat="false" ht="15" hidden="false" customHeight="true" outlineLevel="0" collapsed="false">
      <c r="A286" s="43" t="n">
        <v>45536</v>
      </c>
      <c r="B286" s="1" t="n">
        <v>2024</v>
      </c>
      <c r="C286" s="1" t="s">
        <v>72</v>
      </c>
      <c r="D286" s="1" t="s">
        <v>126</v>
      </c>
      <c r="E286" s="1" t="s">
        <v>129</v>
      </c>
      <c r="F286" s="1" t="s">
        <v>134</v>
      </c>
      <c r="G286" s="1" t="s">
        <v>184</v>
      </c>
      <c r="H286" s="1" t="s">
        <v>35</v>
      </c>
      <c r="I286" s="1" t="s">
        <v>101</v>
      </c>
      <c r="J286" s="1" t="s">
        <v>132</v>
      </c>
      <c r="K286" s="1" t="s">
        <v>123</v>
      </c>
      <c r="L286" s="1" t="n">
        <v>5</v>
      </c>
      <c r="M286" s="37" t="n">
        <v>153284</v>
      </c>
      <c r="N286" s="44" t="n">
        <v>0.15</v>
      </c>
      <c r="O286" s="1" t="n">
        <v>97093.83</v>
      </c>
      <c r="P286" s="37" t="n">
        <v>766420</v>
      </c>
      <c r="Q286" s="37" t="n">
        <v>651457</v>
      </c>
      <c r="R286" s="37" t="n">
        <v>165987.85</v>
      </c>
      <c r="S286" s="1" t="s">
        <v>125</v>
      </c>
    </row>
    <row r="287" customFormat="false" ht="15" hidden="false" customHeight="true" outlineLevel="0" collapsed="false">
      <c r="A287" s="43" t="n">
        <v>45569</v>
      </c>
      <c r="B287" s="1" t="n">
        <v>2024</v>
      </c>
      <c r="C287" s="1" t="s">
        <v>75</v>
      </c>
      <c r="D287" s="1" t="s">
        <v>136</v>
      </c>
      <c r="E287" s="1" t="s">
        <v>129</v>
      </c>
      <c r="F287" s="1" t="s">
        <v>143</v>
      </c>
      <c r="G287" s="1" t="s">
        <v>169</v>
      </c>
      <c r="H287" s="1" t="s">
        <v>34</v>
      </c>
      <c r="I287" s="1" t="s">
        <v>116</v>
      </c>
      <c r="J287" s="1" t="s">
        <v>132</v>
      </c>
      <c r="K287" s="1" t="s">
        <v>103</v>
      </c>
      <c r="L287" s="1" t="n">
        <v>9</v>
      </c>
      <c r="M287" s="37" t="n">
        <v>20198</v>
      </c>
      <c r="N287" s="44" t="n">
        <v>0.12</v>
      </c>
      <c r="O287" s="1" t="n">
        <v>10443.7</v>
      </c>
      <c r="P287" s="37" t="n">
        <v>181782</v>
      </c>
      <c r="Q287" s="37" t="n">
        <v>159968.16</v>
      </c>
      <c r="R287" s="37" t="n">
        <v>65974.86</v>
      </c>
      <c r="S287" s="1" t="s">
        <v>97</v>
      </c>
    </row>
    <row r="288" customFormat="false" ht="15" hidden="false" customHeight="true" outlineLevel="0" collapsed="false">
      <c r="A288" s="43" t="n">
        <v>45605</v>
      </c>
      <c r="B288" s="1" t="n">
        <v>2024</v>
      </c>
      <c r="C288" s="1" t="s">
        <v>76</v>
      </c>
      <c r="D288" s="1" t="s">
        <v>136</v>
      </c>
      <c r="E288" s="1" t="s">
        <v>91</v>
      </c>
      <c r="F288" s="1" t="s">
        <v>134</v>
      </c>
      <c r="G288" s="1" t="s">
        <v>165</v>
      </c>
      <c r="H288" s="1" t="s">
        <v>44</v>
      </c>
      <c r="I288" s="1" t="s">
        <v>108</v>
      </c>
      <c r="J288" s="1" t="s">
        <v>109</v>
      </c>
      <c r="K288" s="1" t="s">
        <v>146</v>
      </c>
      <c r="L288" s="1" t="n">
        <v>14</v>
      </c>
      <c r="M288" s="37" t="n">
        <v>32960</v>
      </c>
      <c r="N288" s="44" t="n">
        <v>0</v>
      </c>
      <c r="O288" s="1" t="n">
        <v>18995.64</v>
      </c>
      <c r="P288" s="37" t="n">
        <v>461440</v>
      </c>
      <c r="Q288" s="37" t="n">
        <v>461440</v>
      </c>
      <c r="R288" s="37" t="n">
        <v>195501.04</v>
      </c>
      <c r="S288" s="1" t="s">
        <v>172</v>
      </c>
    </row>
    <row r="289" customFormat="false" ht="15" hidden="false" customHeight="true" outlineLevel="0" collapsed="false">
      <c r="A289" s="43" t="n">
        <v>45643</v>
      </c>
      <c r="B289" s="1" t="n">
        <v>2024</v>
      </c>
      <c r="C289" s="1" t="s">
        <v>77</v>
      </c>
      <c r="D289" s="1" t="s">
        <v>136</v>
      </c>
      <c r="E289" s="1" t="s">
        <v>91</v>
      </c>
      <c r="F289" s="1" t="s">
        <v>143</v>
      </c>
      <c r="G289" s="1" t="s">
        <v>161</v>
      </c>
      <c r="H289" s="1" t="s">
        <v>37</v>
      </c>
      <c r="I289" s="1" t="s">
        <v>94</v>
      </c>
      <c r="J289" s="1" t="s">
        <v>150</v>
      </c>
      <c r="K289" s="1" t="s">
        <v>146</v>
      </c>
      <c r="L289" s="1" t="n">
        <v>14</v>
      </c>
      <c r="M289" s="37" t="n">
        <v>37459</v>
      </c>
      <c r="N289" s="44" t="n">
        <v>0.15</v>
      </c>
      <c r="O289" s="1" t="n">
        <v>23826.97</v>
      </c>
      <c r="P289" s="37" t="n">
        <v>524426</v>
      </c>
      <c r="Q289" s="37" t="n">
        <v>445762.1</v>
      </c>
      <c r="R289" s="37" t="n">
        <v>112184.52</v>
      </c>
      <c r="S289" s="1" t="s">
        <v>104</v>
      </c>
    </row>
    <row r="290" customFormat="false" ht="15" hidden="false" customHeight="true" outlineLevel="0" collapsed="false">
      <c r="A290" s="43" t="n">
        <v>45309</v>
      </c>
      <c r="B290" s="1" t="n">
        <v>2024</v>
      </c>
      <c r="C290" s="1" t="s">
        <v>50</v>
      </c>
      <c r="D290" s="1" t="s">
        <v>90</v>
      </c>
      <c r="E290" s="1" t="s">
        <v>98</v>
      </c>
      <c r="F290" s="1" t="s">
        <v>143</v>
      </c>
      <c r="G290" s="1" t="s">
        <v>157</v>
      </c>
      <c r="H290" s="1" t="s">
        <v>46</v>
      </c>
      <c r="I290" s="1" t="s">
        <v>101</v>
      </c>
      <c r="J290" s="1" t="s">
        <v>102</v>
      </c>
      <c r="K290" s="1" t="s">
        <v>123</v>
      </c>
      <c r="L290" s="1" t="n">
        <v>30</v>
      </c>
      <c r="M290" s="37" t="n">
        <v>123955</v>
      </c>
      <c r="N290" s="44" t="n">
        <v>0.1</v>
      </c>
      <c r="O290" s="1" t="n">
        <v>90160.1</v>
      </c>
      <c r="P290" s="37" t="n">
        <v>3718650</v>
      </c>
      <c r="Q290" s="37" t="n">
        <v>3346785</v>
      </c>
      <c r="R290" s="37" t="n">
        <v>641982</v>
      </c>
      <c r="S290" s="1" t="s">
        <v>111</v>
      </c>
    </row>
    <row r="291" customFormat="false" ht="15" hidden="false" customHeight="true" outlineLevel="0" collapsed="false">
      <c r="A291" s="43" t="n">
        <v>45333</v>
      </c>
      <c r="B291" s="1" t="n">
        <v>2024</v>
      </c>
      <c r="C291" s="1" t="s">
        <v>53</v>
      </c>
      <c r="D291" s="1" t="s">
        <v>90</v>
      </c>
      <c r="E291" s="1" t="s">
        <v>129</v>
      </c>
      <c r="F291" s="1" t="s">
        <v>130</v>
      </c>
      <c r="G291" s="1" t="s">
        <v>201</v>
      </c>
      <c r="H291" s="1" t="s">
        <v>39</v>
      </c>
      <c r="I291" s="1" t="s">
        <v>155</v>
      </c>
      <c r="J291" s="1" t="s">
        <v>150</v>
      </c>
      <c r="K291" s="1" t="s">
        <v>103</v>
      </c>
      <c r="L291" s="1" t="n">
        <v>28</v>
      </c>
      <c r="M291" s="37" t="n">
        <v>96790</v>
      </c>
      <c r="N291" s="44" t="n">
        <v>0.15</v>
      </c>
      <c r="O291" s="1" t="n">
        <v>56261.32</v>
      </c>
      <c r="P291" s="37" t="n">
        <v>2710120</v>
      </c>
      <c r="Q291" s="37" t="n">
        <v>2303602</v>
      </c>
      <c r="R291" s="37" t="n">
        <v>728285.04</v>
      </c>
      <c r="S291" s="1" t="s">
        <v>111</v>
      </c>
    </row>
    <row r="292" customFormat="false" ht="15" hidden="false" customHeight="true" outlineLevel="0" collapsed="false">
      <c r="A292" s="43" t="n">
        <v>45375</v>
      </c>
      <c r="B292" s="1" t="n">
        <v>2024</v>
      </c>
      <c r="C292" s="1" t="s">
        <v>56</v>
      </c>
      <c r="D292" s="1" t="s">
        <v>90</v>
      </c>
      <c r="E292" s="1" t="s">
        <v>91</v>
      </c>
      <c r="F292" s="1" t="s">
        <v>134</v>
      </c>
      <c r="G292" s="1" t="s">
        <v>171</v>
      </c>
      <c r="H292" s="1" t="s">
        <v>32</v>
      </c>
      <c r="I292" s="1" t="s">
        <v>116</v>
      </c>
      <c r="J292" s="1" t="s">
        <v>176</v>
      </c>
      <c r="K292" s="1" t="s">
        <v>96</v>
      </c>
      <c r="L292" s="1" t="n">
        <v>160</v>
      </c>
      <c r="M292" s="37" t="n">
        <v>68314</v>
      </c>
      <c r="N292" s="44" t="n">
        <v>0</v>
      </c>
      <c r="O292" s="1" t="n">
        <v>49188.34</v>
      </c>
      <c r="P292" s="37" t="n">
        <v>10930240</v>
      </c>
      <c r="Q292" s="37" t="n">
        <v>10930240</v>
      </c>
      <c r="R292" s="37" t="n">
        <v>3060105.6</v>
      </c>
      <c r="S292" s="1" t="s">
        <v>172</v>
      </c>
    </row>
    <row r="293" customFormat="false" ht="15" hidden="false" customHeight="true" outlineLevel="0" collapsed="false">
      <c r="A293" s="43" t="n">
        <v>45386</v>
      </c>
      <c r="B293" s="1" t="n">
        <v>2024</v>
      </c>
      <c r="C293" s="1" t="s">
        <v>59</v>
      </c>
      <c r="D293" s="1" t="s">
        <v>112</v>
      </c>
      <c r="E293" s="1" t="s">
        <v>91</v>
      </c>
      <c r="F293" s="1" t="s">
        <v>121</v>
      </c>
      <c r="G293" s="1" t="s">
        <v>127</v>
      </c>
      <c r="H293" s="1" t="s">
        <v>35</v>
      </c>
      <c r="I293" s="1" t="s">
        <v>101</v>
      </c>
      <c r="J293" s="1" t="s">
        <v>132</v>
      </c>
      <c r="K293" s="1" t="s">
        <v>96</v>
      </c>
      <c r="L293" s="1" t="n">
        <v>17</v>
      </c>
      <c r="M293" s="37" t="n">
        <v>164608</v>
      </c>
      <c r="N293" s="44" t="n">
        <v>0.2</v>
      </c>
      <c r="O293" s="1" t="n">
        <v>120801.86</v>
      </c>
      <c r="P293" s="37" t="n">
        <v>2798336</v>
      </c>
      <c r="Q293" s="37" t="n">
        <v>2238668.8</v>
      </c>
      <c r="R293" s="37" t="n">
        <v>185037.18</v>
      </c>
      <c r="S293" s="1" t="s">
        <v>97</v>
      </c>
    </row>
    <row r="294" customFormat="false" ht="15" hidden="false" customHeight="true" outlineLevel="0" collapsed="false">
      <c r="A294" s="43" t="n">
        <v>45418</v>
      </c>
      <c r="B294" s="1" t="n">
        <v>2024</v>
      </c>
      <c r="C294" s="1" t="s">
        <v>62</v>
      </c>
      <c r="D294" s="1" t="s">
        <v>112</v>
      </c>
      <c r="E294" s="1" t="s">
        <v>98</v>
      </c>
      <c r="F294" s="1" t="s">
        <v>140</v>
      </c>
      <c r="G294" s="1" t="s">
        <v>115</v>
      </c>
      <c r="H294" s="1" t="s">
        <v>42</v>
      </c>
      <c r="I294" s="1" t="s">
        <v>116</v>
      </c>
      <c r="J294" s="1" t="s">
        <v>128</v>
      </c>
      <c r="K294" s="1" t="s">
        <v>110</v>
      </c>
      <c r="L294" s="1" t="n">
        <v>220</v>
      </c>
      <c r="M294" s="37" t="n">
        <v>32572</v>
      </c>
      <c r="N294" s="44"/>
      <c r="O294" s="1" t="n">
        <v>18623.87</v>
      </c>
      <c r="P294" s="37" t="n">
        <v>7165840</v>
      </c>
      <c r="Q294" s="37" t="n">
        <v>7165840</v>
      </c>
      <c r="R294" s="37" t="n">
        <v>3068588.6</v>
      </c>
      <c r="S294" s="1" t="s">
        <v>125</v>
      </c>
    </row>
    <row r="295" customFormat="false" ht="15" hidden="false" customHeight="true" outlineLevel="0" collapsed="false">
      <c r="A295" s="43" t="n">
        <v>45444</v>
      </c>
      <c r="B295" s="1" t="n">
        <v>2024</v>
      </c>
      <c r="C295" s="1" t="s">
        <v>65</v>
      </c>
      <c r="D295" s="1" t="s">
        <v>112</v>
      </c>
      <c r="E295" s="1" t="s">
        <v>137</v>
      </c>
      <c r="F295" s="1" t="s">
        <v>92</v>
      </c>
      <c r="G295" s="1" t="s">
        <v>168</v>
      </c>
      <c r="H295" s="1" t="s">
        <v>44</v>
      </c>
      <c r="I295" s="1" t="s">
        <v>108</v>
      </c>
      <c r="J295" s="1" t="s">
        <v>109</v>
      </c>
      <c r="K295" s="1" t="s">
        <v>133</v>
      </c>
      <c r="L295" s="1" t="n">
        <v>238</v>
      </c>
      <c r="M295" s="37" t="n">
        <v>97676</v>
      </c>
      <c r="N295" s="44" t="n">
        <v>0.15</v>
      </c>
      <c r="O295" s="1" t="n">
        <v>49191.5</v>
      </c>
      <c r="P295" s="37" t="n">
        <v>23246888</v>
      </c>
      <c r="Q295" s="37" t="n">
        <v>19759854.8</v>
      </c>
      <c r="R295" s="37" t="n">
        <v>8052277.8</v>
      </c>
      <c r="S295" s="1" t="s">
        <v>172</v>
      </c>
    </row>
    <row r="296" customFormat="false" ht="15" hidden="false" customHeight="true" outlineLevel="0" collapsed="false">
      <c r="A296" s="43" t="n">
        <v>45481</v>
      </c>
      <c r="B296" s="1" t="n">
        <v>2024</v>
      </c>
      <c r="C296" s="1" t="s">
        <v>66</v>
      </c>
      <c r="D296" s="1" t="s">
        <v>126</v>
      </c>
      <c r="E296" s="1" t="s">
        <v>98</v>
      </c>
      <c r="F296" s="1" t="s">
        <v>130</v>
      </c>
      <c r="G296" s="1" t="s">
        <v>193</v>
      </c>
      <c r="H296" s="1" t="s">
        <v>34</v>
      </c>
      <c r="I296" s="1" t="s">
        <v>116</v>
      </c>
      <c r="J296" s="1" t="s">
        <v>132</v>
      </c>
      <c r="K296" s="1" t="s">
        <v>96</v>
      </c>
      <c r="L296" s="1" t="n">
        <v>22</v>
      </c>
      <c r="M296" s="37" t="n">
        <v>161799</v>
      </c>
      <c r="N296" s="44" t="n">
        <v>0.08</v>
      </c>
      <c r="O296" s="1" t="n">
        <v>87678.12</v>
      </c>
      <c r="P296" s="37" t="n">
        <v>3559578</v>
      </c>
      <c r="Q296" s="37" t="n">
        <v>3274811.76</v>
      </c>
      <c r="R296" s="37" t="n">
        <v>1345893.12</v>
      </c>
      <c r="S296" s="1" t="s">
        <v>125</v>
      </c>
    </row>
    <row r="297" customFormat="false" ht="15" hidden="false" customHeight="true" outlineLevel="0" collapsed="false">
      <c r="A297" s="43" t="n">
        <v>45520</v>
      </c>
      <c r="B297" s="1" t="n">
        <v>2024</v>
      </c>
      <c r="C297" s="1" t="s">
        <v>69</v>
      </c>
      <c r="D297" s="1" t="s">
        <v>126</v>
      </c>
      <c r="E297" s="1" t="s">
        <v>98</v>
      </c>
      <c r="F297" s="1" t="s">
        <v>140</v>
      </c>
      <c r="G297" s="1" t="s">
        <v>202</v>
      </c>
      <c r="H297" s="1" t="s">
        <v>36</v>
      </c>
      <c r="I297" s="1" t="s">
        <v>101</v>
      </c>
      <c r="J297" s="1" t="s">
        <v>117</v>
      </c>
      <c r="K297" s="1" t="s">
        <v>110</v>
      </c>
      <c r="L297" s="1" t="n">
        <v>40</v>
      </c>
      <c r="M297" s="37" t="n">
        <v>149428</v>
      </c>
      <c r="N297" s="44" t="n">
        <v>0.05</v>
      </c>
      <c r="O297" s="1" t="n">
        <v>81167.79</v>
      </c>
      <c r="P297" s="37" t="n">
        <v>5977120</v>
      </c>
      <c r="Q297" s="37" t="n">
        <v>5678264</v>
      </c>
      <c r="R297" s="37" t="n">
        <v>2431552.4</v>
      </c>
      <c r="S297" s="1" t="s">
        <v>125</v>
      </c>
    </row>
    <row r="298" customFormat="false" ht="15" hidden="false" customHeight="true" outlineLevel="0" collapsed="false">
      <c r="A298" s="43" t="n">
        <v>45547</v>
      </c>
      <c r="B298" s="1" t="n">
        <v>2024</v>
      </c>
      <c r="C298" s="1" t="s">
        <v>72</v>
      </c>
      <c r="D298" s="1" t="s">
        <v>126</v>
      </c>
      <c r="E298" s="1" t="s">
        <v>120</v>
      </c>
      <c r="F298" s="1" t="s">
        <v>130</v>
      </c>
      <c r="G298" s="1" t="s">
        <v>204</v>
      </c>
      <c r="H298" s="1" t="s">
        <v>39</v>
      </c>
      <c r="I298" s="1" t="s">
        <v>94</v>
      </c>
      <c r="J298" s="1" t="s">
        <v>150</v>
      </c>
      <c r="K298" s="1" t="s">
        <v>103</v>
      </c>
      <c r="L298" s="1" t="n">
        <v>20</v>
      </c>
      <c r="M298" s="37" t="n">
        <v>103676</v>
      </c>
      <c r="N298" s="44" t="n">
        <v>0.12</v>
      </c>
      <c r="O298" s="1" t="n">
        <v>69267.36</v>
      </c>
      <c r="P298" s="37" t="n">
        <v>2073520</v>
      </c>
      <c r="Q298" s="37" t="n">
        <v>1824697.6</v>
      </c>
      <c r="R298" s="37" t="n">
        <v>439350.4</v>
      </c>
      <c r="S298" s="1" t="s">
        <v>125</v>
      </c>
    </row>
    <row r="299" customFormat="false" ht="15" hidden="false" customHeight="true" outlineLevel="0" collapsed="false">
      <c r="A299" s="43" t="n">
        <v>45569</v>
      </c>
      <c r="B299" s="1" t="n">
        <v>2024</v>
      </c>
      <c r="C299" s="1" t="s">
        <v>75</v>
      </c>
      <c r="D299" s="1" t="s">
        <v>136</v>
      </c>
      <c r="E299" s="1" t="s">
        <v>137</v>
      </c>
      <c r="F299" s="1" t="s">
        <v>114</v>
      </c>
      <c r="G299" s="1" t="s">
        <v>193</v>
      </c>
      <c r="H299" s="1" t="s">
        <v>34</v>
      </c>
      <c r="I299" s="1" t="s">
        <v>101</v>
      </c>
      <c r="J299" s="1" t="s">
        <v>132</v>
      </c>
      <c r="K299" s="1" t="s">
        <v>103</v>
      </c>
      <c r="L299" s="1" t="n">
        <v>114</v>
      </c>
      <c r="M299" s="37" t="n">
        <v>91984</v>
      </c>
      <c r="N299" s="44" t="n">
        <v>0</v>
      </c>
      <c r="O299" s="1" t="n">
        <v>52077.37</v>
      </c>
      <c r="P299" s="37" t="n">
        <v>10486176</v>
      </c>
      <c r="Q299" s="37" t="n">
        <v>10486176</v>
      </c>
      <c r="R299" s="37" t="n">
        <v>4549355.82</v>
      </c>
      <c r="S299" s="1" t="s">
        <v>172</v>
      </c>
    </row>
    <row r="300" customFormat="false" ht="15" hidden="false" customHeight="true" outlineLevel="0" collapsed="false">
      <c r="A300" s="43" t="n">
        <v>45620</v>
      </c>
      <c r="B300" s="1" t="n">
        <v>2024</v>
      </c>
      <c r="C300" s="1" t="s">
        <v>76</v>
      </c>
      <c r="D300" s="1" t="s">
        <v>136</v>
      </c>
      <c r="E300" s="1" t="s">
        <v>120</v>
      </c>
      <c r="F300" s="1" t="s">
        <v>140</v>
      </c>
      <c r="G300" s="1" t="s">
        <v>214</v>
      </c>
      <c r="H300" s="1" t="s">
        <v>44</v>
      </c>
      <c r="I300" s="1" t="s">
        <v>41</v>
      </c>
      <c r="J300" s="1" t="s">
        <v>109</v>
      </c>
      <c r="K300" s="1" t="s">
        <v>118</v>
      </c>
      <c r="L300" s="1" t="n">
        <v>38</v>
      </c>
      <c r="M300" s="37" t="n">
        <v>150097</v>
      </c>
      <c r="N300" s="44" t="n">
        <v>0.1</v>
      </c>
      <c r="O300" s="1" t="n">
        <v>70701.47</v>
      </c>
      <c r="P300" s="37" t="n">
        <v>5703686</v>
      </c>
      <c r="Q300" s="37" t="n">
        <v>5133317.4</v>
      </c>
      <c r="R300" s="37" t="n">
        <v>2446661.54</v>
      </c>
      <c r="S300" s="1" t="s">
        <v>104</v>
      </c>
    </row>
    <row r="301" customFormat="false" ht="15" hidden="false" customHeight="true" outlineLevel="0" collapsed="false">
      <c r="A301" s="43" t="n">
        <v>45639</v>
      </c>
      <c r="B301" s="1" t="n">
        <v>2024</v>
      </c>
      <c r="C301" s="1" t="s">
        <v>77</v>
      </c>
      <c r="D301" s="1" t="s">
        <v>136</v>
      </c>
      <c r="E301" s="1" t="s">
        <v>137</v>
      </c>
      <c r="F301" s="1" t="s">
        <v>130</v>
      </c>
      <c r="G301" s="1" t="s">
        <v>187</v>
      </c>
      <c r="H301" s="1" t="s">
        <v>34</v>
      </c>
      <c r="I301" s="1" t="s">
        <v>33</v>
      </c>
      <c r="J301" s="1" t="s">
        <v>132</v>
      </c>
      <c r="K301" s="1" t="s">
        <v>146</v>
      </c>
      <c r="L301" s="1" t="n">
        <v>19</v>
      </c>
      <c r="M301" s="37" t="n">
        <v>113324</v>
      </c>
      <c r="N301" s="44" t="n">
        <v>0.08</v>
      </c>
      <c r="O301" s="1" t="n">
        <v>71166.24</v>
      </c>
      <c r="P301" s="37" t="n">
        <v>2153156</v>
      </c>
      <c r="Q301" s="37" t="n">
        <v>1980903.52</v>
      </c>
      <c r="R301" s="37" t="n">
        <v>628744.96</v>
      </c>
      <c r="S301" s="1" t="s">
        <v>172</v>
      </c>
    </row>
    <row r="302" customFormat="false" ht="15" hidden="false" customHeight="true" outlineLevel="0" collapsed="false">
      <c r="A302" s="43" t="n">
        <v>45308</v>
      </c>
      <c r="B302" s="1" t="n">
        <v>2024</v>
      </c>
      <c r="C302" s="1" t="s">
        <v>50</v>
      </c>
      <c r="D302" s="1" t="s">
        <v>90</v>
      </c>
      <c r="E302" s="1" t="s">
        <v>98</v>
      </c>
      <c r="F302" s="1" t="s">
        <v>160</v>
      </c>
      <c r="G302" s="1" t="s">
        <v>169</v>
      </c>
      <c r="H302" s="1" t="s">
        <v>36</v>
      </c>
      <c r="I302" s="1" t="s">
        <v>116</v>
      </c>
      <c r="J302" s="1" t="s">
        <v>117</v>
      </c>
      <c r="K302" s="1" t="s">
        <v>96</v>
      </c>
      <c r="L302" s="1" t="n">
        <v>34</v>
      </c>
      <c r="M302" s="37" t="n">
        <v>140432</v>
      </c>
      <c r="N302" s="44" t="n">
        <v>0.1</v>
      </c>
      <c r="O302" s="1" t="n">
        <v>64097.42</v>
      </c>
      <c r="P302" s="37" t="n">
        <v>4774688</v>
      </c>
      <c r="Q302" s="37" t="n">
        <v>4297219.2</v>
      </c>
      <c r="R302" s="37" t="n">
        <v>2117906.92</v>
      </c>
      <c r="S302" s="1" t="s">
        <v>172</v>
      </c>
    </row>
    <row r="303" customFormat="false" ht="15" hidden="false" customHeight="true" outlineLevel="0" collapsed="false">
      <c r="A303" s="43" t="n">
        <v>45348</v>
      </c>
      <c r="B303" s="1" t="n">
        <v>2024</v>
      </c>
      <c r="C303" s="1" t="s">
        <v>53</v>
      </c>
      <c r="D303" s="1" t="s">
        <v>90</v>
      </c>
      <c r="E303" s="1" t="s">
        <v>91</v>
      </c>
      <c r="F303" s="1" t="s">
        <v>92</v>
      </c>
      <c r="G303" s="1" t="s">
        <v>180</v>
      </c>
      <c r="H303" s="1" t="s">
        <v>37</v>
      </c>
      <c r="I303" s="1" t="s">
        <v>94</v>
      </c>
      <c r="J303" s="1" t="s">
        <v>150</v>
      </c>
      <c r="K303" s="1" t="s">
        <v>103</v>
      </c>
      <c r="L303" s="1" t="n">
        <v>2</v>
      </c>
      <c r="M303" s="37" t="n">
        <v>85451</v>
      </c>
      <c r="N303" s="44"/>
      <c r="O303" s="1" t="n">
        <v>65285.53</v>
      </c>
      <c r="P303" s="37" t="n">
        <v>170902</v>
      </c>
      <c r="Q303" s="37" t="n">
        <v>170902</v>
      </c>
      <c r="R303" s="37" t="n">
        <v>40330.94</v>
      </c>
      <c r="S303" s="1" t="s">
        <v>172</v>
      </c>
    </row>
    <row r="304" customFormat="false" ht="15" hidden="false" customHeight="true" outlineLevel="0" collapsed="false">
      <c r="A304" s="43" t="n">
        <v>45359</v>
      </c>
      <c r="B304" s="1" t="n">
        <v>2024</v>
      </c>
      <c r="C304" s="1" t="s">
        <v>56</v>
      </c>
      <c r="D304" s="1" t="s">
        <v>90</v>
      </c>
      <c r="E304" s="1" t="s">
        <v>98</v>
      </c>
      <c r="F304" s="1" t="s">
        <v>170</v>
      </c>
      <c r="G304" s="1" t="s">
        <v>127</v>
      </c>
      <c r="H304" s="1" t="s">
        <v>45</v>
      </c>
      <c r="I304" s="1" t="s">
        <v>94</v>
      </c>
      <c r="J304" s="1" t="s">
        <v>95</v>
      </c>
      <c r="K304" s="1" t="s">
        <v>118</v>
      </c>
      <c r="L304" s="1" t="n">
        <v>20</v>
      </c>
      <c r="M304" s="37" t="n">
        <v>98320</v>
      </c>
      <c r="N304" s="44" t="n">
        <v>0.1</v>
      </c>
      <c r="O304" s="1" t="n">
        <v>51358.93</v>
      </c>
      <c r="P304" s="37" t="n">
        <v>1966400</v>
      </c>
      <c r="Q304" s="37" t="n">
        <v>1769760</v>
      </c>
      <c r="R304" s="37" t="n">
        <v>742581.4</v>
      </c>
      <c r="S304" s="1" t="s">
        <v>104</v>
      </c>
    </row>
    <row r="305" customFormat="false" ht="15" hidden="false" customHeight="true" outlineLevel="0" collapsed="false">
      <c r="A305" s="43" t="n">
        <v>45399</v>
      </c>
      <c r="B305" s="1" t="n">
        <v>2024</v>
      </c>
      <c r="C305" s="1" t="s">
        <v>59</v>
      </c>
      <c r="D305" s="1" t="s">
        <v>112</v>
      </c>
      <c r="E305" s="1" t="s">
        <v>120</v>
      </c>
      <c r="F305" s="1" t="s">
        <v>138</v>
      </c>
      <c r="G305" s="1" t="s">
        <v>192</v>
      </c>
      <c r="H305" s="1" t="s">
        <v>46</v>
      </c>
      <c r="I305" s="1" t="s">
        <v>116</v>
      </c>
      <c r="J305" s="1" t="s">
        <v>102</v>
      </c>
      <c r="K305" s="1" t="s">
        <v>133</v>
      </c>
      <c r="L305" s="1" t="n">
        <v>5</v>
      </c>
      <c r="M305" s="37" t="n">
        <v>43034</v>
      </c>
      <c r="N305" s="44" t="n">
        <v>0.1</v>
      </c>
      <c r="O305" s="1" t="n">
        <v>30316.5</v>
      </c>
      <c r="P305" s="37" t="n">
        <v>215170</v>
      </c>
      <c r="Q305" s="37" t="n">
        <v>193653</v>
      </c>
      <c r="R305" s="37" t="n">
        <v>42070.5</v>
      </c>
      <c r="S305" s="1" t="s">
        <v>119</v>
      </c>
    </row>
    <row r="306" customFormat="false" ht="15" hidden="false" customHeight="true" outlineLevel="0" collapsed="false">
      <c r="A306" s="43" t="n">
        <v>45421</v>
      </c>
      <c r="B306" s="1" t="n">
        <v>2024</v>
      </c>
      <c r="C306" s="1" t="s">
        <v>62</v>
      </c>
      <c r="D306" s="1" t="s">
        <v>112</v>
      </c>
      <c r="E306" s="1" t="s">
        <v>120</v>
      </c>
      <c r="F306" s="1" t="s">
        <v>151</v>
      </c>
      <c r="G306" s="1" t="s">
        <v>153</v>
      </c>
      <c r="H306" s="1" t="s">
        <v>46</v>
      </c>
      <c r="I306" s="1" t="s">
        <v>116</v>
      </c>
      <c r="J306" s="1" t="s">
        <v>102</v>
      </c>
      <c r="K306" s="1" t="s">
        <v>96</v>
      </c>
      <c r="L306" s="1" t="n">
        <v>2</v>
      </c>
      <c r="M306" s="37" t="n">
        <v>172427</v>
      </c>
      <c r="N306" s="44" t="n">
        <v>0.15</v>
      </c>
      <c r="O306" s="1" t="n">
        <v>113582.19</v>
      </c>
      <c r="P306" s="37" t="n">
        <v>344854</v>
      </c>
      <c r="Q306" s="37" t="n">
        <v>293125.9</v>
      </c>
      <c r="R306" s="37" t="n">
        <v>65961.52</v>
      </c>
      <c r="S306" s="1" t="s">
        <v>104</v>
      </c>
    </row>
    <row r="307" customFormat="false" ht="15" hidden="false" customHeight="true" outlineLevel="0" collapsed="false">
      <c r="A307" s="43" t="n">
        <v>45459</v>
      </c>
      <c r="B307" s="1" t="n">
        <v>2024</v>
      </c>
      <c r="C307" s="1" t="s">
        <v>65</v>
      </c>
      <c r="D307" s="1" t="s">
        <v>112</v>
      </c>
      <c r="E307" s="1" t="s">
        <v>137</v>
      </c>
      <c r="F307" s="1" t="s">
        <v>92</v>
      </c>
      <c r="G307" s="1" t="s">
        <v>213</v>
      </c>
      <c r="H307" s="1" t="s">
        <v>44</v>
      </c>
      <c r="I307" s="1" t="s">
        <v>41</v>
      </c>
      <c r="J307" s="1" t="s">
        <v>109</v>
      </c>
      <c r="K307" s="1" t="s">
        <v>103</v>
      </c>
      <c r="L307" s="1" t="n">
        <v>25</v>
      </c>
      <c r="M307" s="37" t="n">
        <v>48048</v>
      </c>
      <c r="N307" s="44" t="n">
        <v>0.15</v>
      </c>
      <c r="O307" s="1" t="n">
        <v>22163.6</v>
      </c>
      <c r="P307" s="37" t="n">
        <v>1201200</v>
      </c>
      <c r="Q307" s="37" t="n">
        <v>1021020</v>
      </c>
      <c r="R307" s="37" t="n">
        <v>466930</v>
      </c>
      <c r="S307" s="1" t="s">
        <v>97</v>
      </c>
    </row>
    <row r="308" customFormat="false" ht="15" hidden="false" customHeight="true" outlineLevel="0" collapsed="false">
      <c r="A308" s="43" t="n">
        <v>45476</v>
      </c>
      <c r="B308" s="1" t="n">
        <v>2024</v>
      </c>
      <c r="C308" s="1" t="s">
        <v>66</v>
      </c>
      <c r="D308" s="1" t="s">
        <v>126</v>
      </c>
      <c r="E308" s="1" t="s">
        <v>120</v>
      </c>
      <c r="F308" s="1" t="s">
        <v>121</v>
      </c>
      <c r="G308" s="1" t="s">
        <v>184</v>
      </c>
      <c r="H308" s="1" t="s">
        <v>36</v>
      </c>
      <c r="I308" s="1" t="s">
        <v>116</v>
      </c>
      <c r="J308" s="1" t="s">
        <v>117</v>
      </c>
      <c r="K308" s="1" t="s">
        <v>103</v>
      </c>
      <c r="L308" s="1" t="n">
        <v>30</v>
      </c>
      <c r="M308" s="37" t="n">
        <v>124081</v>
      </c>
      <c r="N308" s="44" t="n">
        <v>0</v>
      </c>
      <c r="O308" s="1" t="n">
        <v>82237.84</v>
      </c>
      <c r="P308" s="37" t="n">
        <v>3722430</v>
      </c>
      <c r="Q308" s="37" t="n">
        <v>3722430</v>
      </c>
      <c r="R308" s="37" t="n">
        <v>1255294.8</v>
      </c>
      <c r="S308" s="1" t="s">
        <v>125</v>
      </c>
    </row>
    <row r="309" customFormat="false" ht="15" hidden="false" customHeight="true" outlineLevel="0" collapsed="false">
      <c r="A309" s="43" t="n">
        <v>45525</v>
      </c>
      <c r="B309" s="1" t="n">
        <v>2024</v>
      </c>
      <c r="C309" s="1" t="s">
        <v>69</v>
      </c>
      <c r="D309" s="1" t="s">
        <v>126</v>
      </c>
      <c r="E309" s="1" t="s">
        <v>137</v>
      </c>
      <c r="F309" s="1" t="s">
        <v>106</v>
      </c>
      <c r="G309" s="1" t="s">
        <v>187</v>
      </c>
      <c r="H309" s="1" t="s">
        <v>43</v>
      </c>
      <c r="I309" s="1" t="s">
        <v>33</v>
      </c>
      <c r="J309" s="1" t="s">
        <v>148</v>
      </c>
      <c r="K309" s="1" t="s">
        <v>118</v>
      </c>
      <c r="L309" s="1" t="n">
        <v>30</v>
      </c>
      <c r="M309" s="37" t="n">
        <v>23119</v>
      </c>
      <c r="N309" s="44" t="n">
        <v>0.15</v>
      </c>
      <c r="O309" s="1" t="n">
        <v>14600.71</v>
      </c>
      <c r="P309" s="37" t="n">
        <v>693570</v>
      </c>
      <c r="Q309" s="37" t="n">
        <v>589534.5</v>
      </c>
      <c r="R309" s="37" t="n">
        <v>151513.2</v>
      </c>
      <c r="S309" s="1" t="s">
        <v>125</v>
      </c>
    </row>
    <row r="310" customFormat="false" ht="15" hidden="false" customHeight="true" outlineLevel="0" collapsed="false">
      <c r="A310" s="43" t="n">
        <v>45545</v>
      </c>
      <c r="B310" s="1" t="n">
        <v>2024</v>
      </c>
      <c r="C310" s="1" t="s">
        <v>72</v>
      </c>
      <c r="D310" s="1" t="s">
        <v>126</v>
      </c>
      <c r="E310" s="1" t="s">
        <v>98</v>
      </c>
      <c r="F310" s="1" t="s">
        <v>121</v>
      </c>
      <c r="G310" s="1" t="s">
        <v>200</v>
      </c>
      <c r="H310" s="1" t="s">
        <v>36</v>
      </c>
      <c r="I310" s="1" t="s">
        <v>116</v>
      </c>
      <c r="J310" s="1" t="s">
        <v>117</v>
      </c>
      <c r="K310" s="1" t="s">
        <v>118</v>
      </c>
      <c r="L310" s="1" t="n">
        <v>11</v>
      </c>
      <c r="M310" s="37" t="n">
        <v>172729</v>
      </c>
      <c r="N310" s="44" t="n">
        <v>0.1</v>
      </c>
      <c r="O310" s="1" t="n">
        <v>105753.79</v>
      </c>
      <c r="P310" s="37" t="n">
        <v>1900019</v>
      </c>
      <c r="Q310" s="37" t="n">
        <v>1710017.1</v>
      </c>
      <c r="R310" s="37" t="n">
        <v>546725.41</v>
      </c>
      <c r="S310" s="1" t="s">
        <v>172</v>
      </c>
    </row>
    <row r="311" customFormat="false" ht="15" hidden="false" customHeight="true" outlineLevel="0" collapsed="false">
      <c r="A311" s="43" t="n">
        <v>45570</v>
      </c>
      <c r="B311" s="1" t="n">
        <v>2024</v>
      </c>
      <c r="C311" s="1" t="s">
        <v>75</v>
      </c>
      <c r="D311" s="1" t="s">
        <v>136</v>
      </c>
      <c r="E311" s="1" t="s">
        <v>98</v>
      </c>
      <c r="F311" s="1" t="s">
        <v>121</v>
      </c>
      <c r="G311" s="1" t="s">
        <v>195</v>
      </c>
      <c r="H311" s="1" t="s">
        <v>43</v>
      </c>
      <c r="I311" s="1" t="s">
        <v>33</v>
      </c>
      <c r="J311" s="1" t="s">
        <v>148</v>
      </c>
      <c r="K311" s="1" t="s">
        <v>146</v>
      </c>
      <c r="L311" s="1" t="n">
        <v>12</v>
      </c>
      <c r="M311" s="37" t="n">
        <v>64935</v>
      </c>
      <c r="N311" s="44" t="n">
        <v>0.05</v>
      </c>
      <c r="O311" s="1" t="n">
        <v>34904.43</v>
      </c>
      <c r="P311" s="37" t="n">
        <v>779220</v>
      </c>
      <c r="Q311" s="37" t="n">
        <v>740259</v>
      </c>
      <c r="R311" s="37" t="n">
        <v>321405.84</v>
      </c>
      <c r="S311" s="1" t="s">
        <v>172</v>
      </c>
    </row>
    <row r="312" customFormat="false" ht="15" hidden="false" customHeight="true" outlineLevel="0" collapsed="false">
      <c r="A312" s="43" t="n">
        <v>45619</v>
      </c>
      <c r="B312" s="1" t="n">
        <v>2024</v>
      </c>
      <c r="C312" s="1" t="s">
        <v>76</v>
      </c>
      <c r="D312" s="1" t="s">
        <v>136</v>
      </c>
      <c r="E312" s="1" t="s">
        <v>98</v>
      </c>
      <c r="F312" s="1" t="s">
        <v>92</v>
      </c>
      <c r="G312" s="1" t="s">
        <v>175</v>
      </c>
      <c r="H312" s="1" t="s">
        <v>34</v>
      </c>
      <c r="I312" s="1" t="s">
        <v>33</v>
      </c>
      <c r="J312" s="1" t="s">
        <v>132</v>
      </c>
      <c r="K312" s="1" t="s">
        <v>110</v>
      </c>
      <c r="L312" s="1" t="n">
        <v>25</v>
      </c>
      <c r="M312" s="37" t="n">
        <v>146130</v>
      </c>
      <c r="N312" s="44" t="n">
        <v>0.1</v>
      </c>
      <c r="O312" s="1" t="n">
        <v>85126.21</v>
      </c>
      <c r="P312" s="37" t="n">
        <v>3653250</v>
      </c>
      <c r="Q312" s="37" t="n">
        <v>3287925</v>
      </c>
      <c r="R312" s="37" t="n">
        <v>1159769.75</v>
      </c>
      <c r="S312" s="1" t="s">
        <v>125</v>
      </c>
    </row>
    <row r="313" customFormat="false" ht="15" hidden="false" customHeight="true" outlineLevel="0" collapsed="false">
      <c r="A313" s="43" t="n">
        <v>45654</v>
      </c>
      <c r="B313" s="1" t="n">
        <v>2024</v>
      </c>
      <c r="C313" s="1" t="s">
        <v>77</v>
      </c>
      <c r="D313" s="1" t="s">
        <v>136</v>
      </c>
      <c r="E313" s="1" t="s">
        <v>120</v>
      </c>
      <c r="F313" s="1" t="s">
        <v>170</v>
      </c>
      <c r="G313" s="1" t="s">
        <v>168</v>
      </c>
      <c r="H313" s="1" t="s">
        <v>35</v>
      </c>
      <c r="I313" s="1" t="s">
        <v>101</v>
      </c>
      <c r="J313" s="1" t="s">
        <v>132</v>
      </c>
      <c r="K313" s="1" t="s">
        <v>217</v>
      </c>
      <c r="L313" s="1" t="n">
        <v>20</v>
      </c>
      <c r="M313" s="37" t="n">
        <v>128983</v>
      </c>
      <c r="N313" s="44" t="n">
        <v>0.1</v>
      </c>
      <c r="O313" s="1" t="n">
        <v>63349.21</v>
      </c>
      <c r="P313" s="37" t="n">
        <v>2579660</v>
      </c>
      <c r="Q313" s="37"/>
      <c r="R313" s="37" t="n">
        <v>1054709.8</v>
      </c>
      <c r="S313" s="1" t="s">
        <v>104</v>
      </c>
    </row>
    <row r="314" customFormat="false" ht="15" hidden="false" customHeight="true" outlineLevel="0" collapsed="false">
      <c r="A314" s="43" t="n">
        <v>45317</v>
      </c>
      <c r="B314" s="1" t="n">
        <v>2024</v>
      </c>
      <c r="C314" s="1" t="s">
        <v>50</v>
      </c>
      <c r="D314" s="1" t="s">
        <v>90</v>
      </c>
      <c r="E314" s="1" t="s">
        <v>91</v>
      </c>
      <c r="F314" s="1" t="s">
        <v>158</v>
      </c>
      <c r="G314" s="1" t="s">
        <v>178</v>
      </c>
      <c r="H314" s="1" t="s">
        <v>43</v>
      </c>
      <c r="I314" s="1" t="s">
        <v>33</v>
      </c>
      <c r="J314" s="1" t="s">
        <v>148</v>
      </c>
      <c r="K314" s="1" t="s">
        <v>96</v>
      </c>
      <c r="L314" s="1" t="n">
        <v>38</v>
      </c>
      <c r="M314" s="37" t="n">
        <v>130944</v>
      </c>
      <c r="N314" s="44" t="n">
        <v>0.05</v>
      </c>
      <c r="O314" s="1" t="n">
        <v>86478.8</v>
      </c>
      <c r="P314" s="37" t="n">
        <v>4975872</v>
      </c>
      <c r="Q314" s="37" t="n">
        <v>4727078.4</v>
      </c>
      <c r="R314" s="37" t="n">
        <v>1440884</v>
      </c>
      <c r="S314" s="1" t="s">
        <v>97</v>
      </c>
    </row>
    <row r="315" customFormat="false" ht="15" hidden="false" customHeight="true" outlineLevel="0" collapsed="false">
      <c r="A315" s="43" t="n">
        <v>45328</v>
      </c>
      <c r="B315" s="1" t="n">
        <v>2024</v>
      </c>
      <c r="C315" s="1" t="s">
        <v>53</v>
      </c>
      <c r="D315" s="1" t="s">
        <v>90</v>
      </c>
      <c r="E315" s="1" t="s">
        <v>120</v>
      </c>
      <c r="F315" s="1" t="s">
        <v>106</v>
      </c>
      <c r="G315" s="1" t="s">
        <v>198</v>
      </c>
      <c r="H315" s="1" t="s">
        <v>32</v>
      </c>
      <c r="I315" s="1" t="s">
        <v>116</v>
      </c>
      <c r="J315" s="1" t="s">
        <v>176</v>
      </c>
      <c r="K315" s="1" t="s">
        <v>146</v>
      </c>
      <c r="L315" s="1" t="n">
        <v>10</v>
      </c>
      <c r="M315" s="37" t="n">
        <v>163543</v>
      </c>
      <c r="N315" s="44" t="n">
        <v>0.2</v>
      </c>
      <c r="O315" s="1" t="n">
        <v>92547.17</v>
      </c>
      <c r="P315" s="37" t="n">
        <v>1635430</v>
      </c>
      <c r="Q315" s="37" t="n">
        <v>1308344</v>
      </c>
      <c r="R315" s="37" t="n">
        <v>382872.3</v>
      </c>
      <c r="S315" s="1" t="s">
        <v>97</v>
      </c>
    </row>
    <row r="316" customFormat="false" ht="15" hidden="false" customHeight="true" outlineLevel="0" collapsed="false">
      <c r="A316" s="43" t="n">
        <v>45374</v>
      </c>
      <c r="B316" s="1" t="n">
        <v>2024</v>
      </c>
      <c r="C316" s="1" t="s">
        <v>56</v>
      </c>
      <c r="D316" s="1" t="s">
        <v>90</v>
      </c>
      <c r="E316" s="1" t="s">
        <v>137</v>
      </c>
      <c r="F316" s="1" t="s">
        <v>160</v>
      </c>
      <c r="G316" s="1" t="s">
        <v>107</v>
      </c>
      <c r="H316" s="1" t="s">
        <v>45</v>
      </c>
      <c r="I316" s="1" t="s">
        <v>155</v>
      </c>
      <c r="J316" s="1" t="s">
        <v>95</v>
      </c>
      <c r="K316" s="1" t="s">
        <v>123</v>
      </c>
      <c r="L316" s="1" t="n">
        <v>38</v>
      </c>
      <c r="M316" s="37" t="n">
        <v>21395</v>
      </c>
      <c r="N316" s="44" t="n">
        <v>0.2</v>
      </c>
      <c r="O316" s="1" t="n">
        <v>12045.12</v>
      </c>
      <c r="P316" s="37" t="n">
        <v>813010</v>
      </c>
      <c r="Q316" s="37" t="n">
        <v>650408</v>
      </c>
      <c r="R316" s="37" t="n">
        <v>192693.44</v>
      </c>
      <c r="S316" s="1" t="s">
        <v>125</v>
      </c>
    </row>
    <row r="317" customFormat="false" ht="15" hidden="false" customHeight="true" outlineLevel="0" collapsed="false">
      <c r="A317" s="43" t="n">
        <v>45386</v>
      </c>
      <c r="B317" s="1" t="n">
        <v>2024</v>
      </c>
      <c r="C317" s="1" t="s">
        <v>59</v>
      </c>
      <c r="D317" s="1" t="s">
        <v>112</v>
      </c>
      <c r="E317" s="1" t="s">
        <v>137</v>
      </c>
      <c r="F317" s="1" t="s">
        <v>130</v>
      </c>
      <c r="G317" s="1" t="s">
        <v>154</v>
      </c>
      <c r="H317" s="1" t="s">
        <v>35</v>
      </c>
      <c r="I317" s="1" t="s">
        <v>116</v>
      </c>
      <c r="J317" s="1" t="s">
        <v>132</v>
      </c>
      <c r="K317" s="1" t="s">
        <v>118</v>
      </c>
      <c r="L317" s="1" t="n">
        <v>34</v>
      </c>
      <c r="M317" s="37" t="n">
        <v>66801</v>
      </c>
      <c r="N317" s="44" t="n">
        <v>0.05</v>
      </c>
      <c r="O317" s="1" t="n">
        <v>43419.21</v>
      </c>
      <c r="P317" s="37" t="n">
        <v>2271234</v>
      </c>
      <c r="Q317" s="37" t="n">
        <v>2157672.3</v>
      </c>
      <c r="R317" s="37" t="n">
        <v>681419.16</v>
      </c>
      <c r="S317" s="1" t="s">
        <v>172</v>
      </c>
    </row>
    <row r="318" customFormat="false" ht="15" hidden="false" customHeight="true" outlineLevel="0" collapsed="false">
      <c r="A318" s="43" t="n">
        <v>45426</v>
      </c>
      <c r="B318" s="1" t="n">
        <v>2024</v>
      </c>
      <c r="C318" s="1" t="s">
        <v>62</v>
      </c>
      <c r="D318" s="1" t="s">
        <v>112</v>
      </c>
      <c r="E318" s="1" t="s">
        <v>129</v>
      </c>
      <c r="F318" s="1" t="s">
        <v>130</v>
      </c>
      <c r="G318" s="1" t="s">
        <v>154</v>
      </c>
      <c r="H318" s="1" t="s">
        <v>37</v>
      </c>
      <c r="I318" s="1" t="s">
        <v>155</v>
      </c>
      <c r="J318" s="1" t="s">
        <v>150</v>
      </c>
      <c r="K318" s="1" t="s">
        <v>110</v>
      </c>
      <c r="L318" s="1" t="n">
        <v>40</v>
      </c>
      <c r="M318" s="37" t="n">
        <v>46003</v>
      </c>
      <c r="N318" s="44" t="n">
        <v>0.12</v>
      </c>
      <c r="O318" s="1" t="n">
        <v>29069.16</v>
      </c>
      <c r="P318" s="37" t="n">
        <v>1840120</v>
      </c>
      <c r="Q318" s="37" t="n">
        <v>1619305.6</v>
      </c>
      <c r="R318" s="37" t="n">
        <v>456539.2</v>
      </c>
      <c r="S318" s="1" t="s">
        <v>172</v>
      </c>
    </row>
    <row r="319" customFormat="false" ht="15" hidden="false" customHeight="true" outlineLevel="0" collapsed="false">
      <c r="A319" s="43" t="n">
        <v>45444</v>
      </c>
      <c r="B319" s="1" t="n">
        <v>2024</v>
      </c>
      <c r="C319" s="1" t="s">
        <v>65</v>
      </c>
      <c r="D319" s="1" t="s">
        <v>112</v>
      </c>
      <c r="E319" s="1" t="s">
        <v>91</v>
      </c>
      <c r="F319" s="1" t="s">
        <v>188</v>
      </c>
      <c r="G319" s="1" t="s">
        <v>159</v>
      </c>
      <c r="H319" s="1" t="s">
        <v>36</v>
      </c>
      <c r="I319" s="1" t="s">
        <v>33</v>
      </c>
      <c r="J319" s="1" t="s">
        <v>117</v>
      </c>
      <c r="K319" s="1" t="s">
        <v>123</v>
      </c>
      <c r="L319" s="1" t="n">
        <v>14</v>
      </c>
      <c r="M319" s="37" t="n">
        <v>120693</v>
      </c>
      <c r="N319" s="44"/>
      <c r="O319" s="1" t="n">
        <v>69081.96</v>
      </c>
      <c r="P319" s="37" t="n">
        <v>1689702</v>
      </c>
      <c r="Q319" s="37" t="n">
        <v>1689702</v>
      </c>
      <c r="R319" s="37" t="n">
        <v>722554.56</v>
      </c>
      <c r="S319" s="1" t="s">
        <v>172</v>
      </c>
    </row>
    <row r="320" customFormat="false" ht="15" hidden="false" customHeight="true" outlineLevel="0" collapsed="false">
      <c r="A320" s="43" t="n">
        <v>45483</v>
      </c>
      <c r="B320" s="1" t="n">
        <v>2024</v>
      </c>
      <c r="C320" s="1" t="s">
        <v>66</v>
      </c>
      <c r="D320" s="1" t="s">
        <v>126</v>
      </c>
      <c r="E320" s="1" t="s">
        <v>129</v>
      </c>
      <c r="F320" s="1" t="s">
        <v>158</v>
      </c>
      <c r="G320" s="1" t="s">
        <v>209</v>
      </c>
      <c r="H320" s="1" t="s">
        <v>37</v>
      </c>
      <c r="I320" s="1" t="s">
        <v>38</v>
      </c>
      <c r="J320" s="1" t="s">
        <v>150</v>
      </c>
      <c r="K320" s="1" t="s">
        <v>146</v>
      </c>
      <c r="L320" s="1" t="n">
        <v>22</v>
      </c>
      <c r="M320" s="37" t="n">
        <v>161139</v>
      </c>
      <c r="N320" s="44" t="n">
        <v>0</v>
      </c>
      <c r="O320" s="1" t="n">
        <v>119438.64</v>
      </c>
      <c r="P320" s="37" t="n">
        <v>3545058</v>
      </c>
      <c r="Q320" s="37" t="n">
        <v>3545058</v>
      </c>
      <c r="R320" s="37" t="n">
        <v>917407.92</v>
      </c>
      <c r="S320" s="1" t="s">
        <v>104</v>
      </c>
    </row>
    <row r="321" customFormat="false" ht="15" hidden="false" customHeight="true" outlineLevel="0" collapsed="false">
      <c r="A321" s="43" t="n">
        <v>45509</v>
      </c>
      <c r="B321" s="1" t="n">
        <v>2024</v>
      </c>
      <c r="C321" s="1" t="s">
        <v>69</v>
      </c>
      <c r="D321" s="1" t="s">
        <v>126</v>
      </c>
      <c r="E321" s="1" t="s">
        <v>98</v>
      </c>
      <c r="F321" s="1" t="s">
        <v>170</v>
      </c>
      <c r="G321" s="1" t="s">
        <v>107</v>
      </c>
      <c r="H321" s="1" t="s">
        <v>45</v>
      </c>
      <c r="I321" s="1" t="s">
        <v>94</v>
      </c>
      <c r="J321" s="1" t="s">
        <v>95</v>
      </c>
      <c r="K321" s="1" t="s">
        <v>103</v>
      </c>
      <c r="L321" s="1" t="n">
        <v>35</v>
      </c>
      <c r="M321" s="37" t="n">
        <v>133233</v>
      </c>
      <c r="N321" s="44" t="n">
        <v>0.08</v>
      </c>
      <c r="O321" s="1" t="n">
        <v>103219.13</v>
      </c>
      <c r="P321" s="37" t="n">
        <v>4663155</v>
      </c>
      <c r="Q321" s="37" t="n">
        <v>4290102.6</v>
      </c>
      <c r="R321" s="37" t="n">
        <v>677433.05</v>
      </c>
      <c r="S321" s="1" t="s">
        <v>97</v>
      </c>
    </row>
    <row r="322" customFormat="false" ht="15" hidden="false" customHeight="true" outlineLevel="0" collapsed="false">
      <c r="A322" s="43" t="n">
        <v>45542</v>
      </c>
      <c r="B322" s="1" t="n">
        <v>2024</v>
      </c>
      <c r="C322" s="1" t="s">
        <v>72</v>
      </c>
      <c r="D322" s="1" t="s">
        <v>126</v>
      </c>
      <c r="E322" s="1" t="s">
        <v>129</v>
      </c>
      <c r="F322" s="1" t="s">
        <v>92</v>
      </c>
      <c r="G322" s="1" t="s">
        <v>157</v>
      </c>
      <c r="H322" s="1" t="s">
        <v>32</v>
      </c>
      <c r="I322" s="1" t="s">
        <v>101</v>
      </c>
      <c r="J322" s="1" t="s">
        <v>176</v>
      </c>
      <c r="K322" s="1" t="s">
        <v>146</v>
      </c>
      <c r="L322" s="1" t="n">
        <v>10</v>
      </c>
      <c r="M322" s="37" t="n">
        <v>20171</v>
      </c>
      <c r="N322" s="44" t="n">
        <v>0.08</v>
      </c>
      <c r="O322" s="1" t="n">
        <v>13500.02</v>
      </c>
      <c r="P322" s="37" t="n">
        <v>201710</v>
      </c>
      <c r="Q322" s="37" t="n">
        <v>185573.2</v>
      </c>
      <c r="R322" s="37" t="n">
        <v>50573</v>
      </c>
      <c r="S322" s="1" t="s">
        <v>104</v>
      </c>
    </row>
    <row r="323" customFormat="false" ht="15" hidden="false" customHeight="true" outlineLevel="0" collapsed="false">
      <c r="A323" s="43" t="n">
        <v>45593</v>
      </c>
      <c r="B323" s="1" t="n">
        <v>2024</v>
      </c>
      <c r="C323" s="1" t="s">
        <v>75</v>
      </c>
      <c r="D323" s="1" t="s">
        <v>136</v>
      </c>
      <c r="E323" s="1" t="s">
        <v>113</v>
      </c>
      <c r="F323" s="1" t="s">
        <v>143</v>
      </c>
      <c r="G323" s="1" t="s">
        <v>122</v>
      </c>
      <c r="H323" s="1" t="s">
        <v>46</v>
      </c>
      <c r="I323" s="1" t="s">
        <v>33</v>
      </c>
      <c r="J323" s="1" t="s">
        <v>102</v>
      </c>
      <c r="K323" s="1" t="s">
        <v>118</v>
      </c>
      <c r="L323" s="1" t="n">
        <v>6</v>
      </c>
      <c r="M323" s="37" t="n">
        <v>74296</v>
      </c>
      <c r="N323" s="44" t="n">
        <v>0.2</v>
      </c>
      <c r="O323" s="1" t="n">
        <v>39053.61</v>
      </c>
      <c r="P323" s="37" t="n">
        <v>445776</v>
      </c>
      <c r="Q323" s="37" t="n">
        <v>356620.8</v>
      </c>
      <c r="R323" s="37" t="n">
        <v>122299.14</v>
      </c>
      <c r="S323" s="1" t="s">
        <v>119</v>
      </c>
    </row>
    <row r="324" customFormat="false" ht="15" hidden="false" customHeight="true" outlineLevel="0" collapsed="false">
      <c r="A324" s="43" t="n">
        <v>45613</v>
      </c>
      <c r="B324" s="1" t="n">
        <v>2024</v>
      </c>
      <c r="C324" s="1" t="s">
        <v>76</v>
      </c>
      <c r="D324" s="1" t="s">
        <v>136</v>
      </c>
      <c r="E324" s="1" t="s">
        <v>91</v>
      </c>
      <c r="F324" s="1" t="s">
        <v>138</v>
      </c>
      <c r="G324" s="1" t="s">
        <v>218</v>
      </c>
      <c r="H324" s="1" t="s">
        <v>42</v>
      </c>
      <c r="I324" s="1" t="s">
        <v>116</v>
      </c>
      <c r="J324" s="1" t="s">
        <v>128</v>
      </c>
      <c r="K324" s="1" t="s">
        <v>133</v>
      </c>
      <c r="L324" s="1" t="n">
        <v>31</v>
      </c>
      <c r="M324" s="37" t="n">
        <v>149265</v>
      </c>
      <c r="N324" s="44"/>
      <c r="O324" s="1" t="n">
        <v>74655.38</v>
      </c>
      <c r="P324" s="37" t="n">
        <v>4627215</v>
      </c>
      <c r="Q324" s="37" t="n">
        <v>4627215</v>
      </c>
      <c r="R324" s="37" t="n">
        <v>2312898.22</v>
      </c>
      <c r="S324" s="1" t="s">
        <v>97</v>
      </c>
    </row>
    <row r="325" customFormat="false" ht="15" hidden="false" customHeight="true" outlineLevel="0" collapsed="false">
      <c r="A325" s="43" t="n">
        <v>45641</v>
      </c>
      <c r="B325" s="1" t="n">
        <v>2024</v>
      </c>
      <c r="C325" s="1" t="s">
        <v>77</v>
      </c>
      <c r="D325" s="1" t="s">
        <v>136</v>
      </c>
      <c r="E325" s="1" t="s">
        <v>98</v>
      </c>
      <c r="F325" s="1" t="s">
        <v>140</v>
      </c>
      <c r="G325" s="1" t="s">
        <v>131</v>
      </c>
      <c r="H325" s="1" t="s">
        <v>32</v>
      </c>
      <c r="I325" s="1" t="s">
        <v>101</v>
      </c>
      <c r="J325" s="1" t="s">
        <v>176</v>
      </c>
      <c r="K325" s="1" t="s">
        <v>146</v>
      </c>
      <c r="L325" s="1" t="n">
        <v>20</v>
      </c>
      <c r="M325" s="37" t="n">
        <v>167788</v>
      </c>
      <c r="N325" s="44"/>
      <c r="O325" s="1" t="n">
        <v>102922.26</v>
      </c>
      <c r="P325" s="37" t="n">
        <v>3355760</v>
      </c>
      <c r="Q325" s="37" t="n">
        <v>3355760</v>
      </c>
      <c r="R325" s="37" t="n">
        <v>1297314.8</v>
      </c>
      <c r="S325" s="1" t="s">
        <v>97</v>
      </c>
    </row>
    <row r="326" customFormat="false" ht="15" hidden="false" customHeight="true" outlineLevel="0" collapsed="false">
      <c r="A326" s="43" t="n">
        <v>45298</v>
      </c>
      <c r="B326" s="1" t="n">
        <v>2024</v>
      </c>
      <c r="C326" s="1" t="s">
        <v>50</v>
      </c>
      <c r="D326" s="1" t="s">
        <v>90</v>
      </c>
      <c r="E326" s="1" t="s">
        <v>113</v>
      </c>
      <c r="F326" s="1" t="s">
        <v>151</v>
      </c>
      <c r="G326" s="1" t="s">
        <v>200</v>
      </c>
      <c r="H326" s="1" t="s">
        <v>45</v>
      </c>
      <c r="I326" s="1" t="s">
        <v>94</v>
      </c>
      <c r="J326" s="1" t="s">
        <v>95</v>
      </c>
      <c r="K326" s="1" t="s">
        <v>133</v>
      </c>
      <c r="L326" s="1" t="n">
        <v>35</v>
      </c>
      <c r="M326" s="37" t="n">
        <v>127635</v>
      </c>
      <c r="N326" s="44" t="n">
        <v>0.2</v>
      </c>
      <c r="O326" s="1" t="n">
        <v>64106.24</v>
      </c>
      <c r="P326" s="37" t="n">
        <v>4467225</v>
      </c>
      <c r="Q326" s="37" t="n">
        <v>3573780</v>
      </c>
      <c r="R326" s="37" t="n">
        <v>1330061.6</v>
      </c>
      <c r="S326" s="1" t="s">
        <v>119</v>
      </c>
    </row>
    <row r="327" customFormat="false" ht="15" hidden="false" customHeight="true" outlineLevel="0" collapsed="false">
      <c r="A327" s="43" t="n">
        <v>45340</v>
      </c>
      <c r="B327" s="1" t="n">
        <v>2024</v>
      </c>
      <c r="C327" s="1" t="s">
        <v>53</v>
      </c>
      <c r="D327" s="1" t="s">
        <v>90</v>
      </c>
      <c r="E327" s="1" t="s">
        <v>113</v>
      </c>
      <c r="F327" s="1" t="s">
        <v>134</v>
      </c>
      <c r="G327" s="1" t="s">
        <v>200</v>
      </c>
      <c r="H327" s="1" t="s">
        <v>39</v>
      </c>
      <c r="I327" s="1" t="s">
        <v>38</v>
      </c>
      <c r="J327" s="1" t="s">
        <v>150</v>
      </c>
      <c r="K327" s="1" t="s">
        <v>110</v>
      </c>
      <c r="L327" s="1" t="n">
        <v>16</v>
      </c>
      <c r="M327" s="37" t="n">
        <v>93625</v>
      </c>
      <c r="N327" s="44"/>
      <c r="O327" s="1" t="n">
        <v>59845.29</v>
      </c>
      <c r="P327" s="37" t="n">
        <v>1498000</v>
      </c>
      <c r="Q327" s="37" t="n">
        <v>1498000</v>
      </c>
      <c r="R327" s="37" t="n">
        <v>540475.36</v>
      </c>
      <c r="S327" s="1" t="s">
        <v>97</v>
      </c>
    </row>
    <row r="328" customFormat="false" ht="15" hidden="false" customHeight="true" outlineLevel="0" collapsed="false">
      <c r="A328" s="43" t="n">
        <v>45365</v>
      </c>
      <c r="B328" s="1" t="n">
        <v>2024</v>
      </c>
      <c r="C328" s="1" t="s">
        <v>56</v>
      </c>
      <c r="D328" s="1" t="s">
        <v>90</v>
      </c>
      <c r="E328" s="1" t="s">
        <v>98</v>
      </c>
      <c r="F328" s="1" t="s">
        <v>170</v>
      </c>
      <c r="G328" s="1" t="s">
        <v>195</v>
      </c>
      <c r="H328" s="1" t="s">
        <v>34</v>
      </c>
      <c r="I328" s="1" t="s">
        <v>33</v>
      </c>
      <c r="J328" s="1" t="s">
        <v>132</v>
      </c>
      <c r="K328" s="1" t="s">
        <v>110</v>
      </c>
      <c r="L328" s="1" t="n">
        <v>23</v>
      </c>
      <c r="M328" s="37" t="n">
        <v>63943</v>
      </c>
      <c r="N328" s="44" t="n">
        <v>0.05</v>
      </c>
      <c r="O328" s="1" t="n">
        <v>50565.4</v>
      </c>
      <c r="P328" s="37" t="n">
        <v>1470689</v>
      </c>
      <c r="Q328" s="37" t="n">
        <v>1397154.55</v>
      </c>
      <c r="R328" s="37" t="n">
        <v>234150.35</v>
      </c>
      <c r="S328" s="1" t="s">
        <v>125</v>
      </c>
    </row>
    <row r="329" customFormat="false" ht="15" hidden="false" customHeight="true" outlineLevel="0" collapsed="false">
      <c r="A329" s="43" t="n">
        <v>45392</v>
      </c>
      <c r="B329" s="1" t="n">
        <v>2024</v>
      </c>
      <c r="C329" s="1" t="s">
        <v>59</v>
      </c>
      <c r="D329" s="1" t="s">
        <v>112</v>
      </c>
      <c r="E329" s="1" t="s">
        <v>137</v>
      </c>
      <c r="F329" s="1" t="s">
        <v>140</v>
      </c>
      <c r="G329" s="1" t="s">
        <v>177</v>
      </c>
      <c r="H329" s="1" t="s">
        <v>42</v>
      </c>
      <c r="I329" s="1" t="s">
        <v>101</v>
      </c>
      <c r="J329" s="1" t="s">
        <v>128</v>
      </c>
      <c r="K329" s="1" t="s">
        <v>118</v>
      </c>
      <c r="L329" s="1" t="n">
        <v>15</v>
      </c>
      <c r="M329" s="37" t="n">
        <v>49675</v>
      </c>
      <c r="N329" s="44" t="n">
        <v>0.2</v>
      </c>
      <c r="O329" s="1" t="n">
        <v>38224.99</v>
      </c>
      <c r="P329" s="37" t="n">
        <v>745125</v>
      </c>
      <c r="Q329" s="37" t="n">
        <v>596100</v>
      </c>
      <c r="R329" s="37" t="n">
        <v>22725.15</v>
      </c>
      <c r="S329" s="1" t="s">
        <v>125</v>
      </c>
    </row>
    <row r="330" customFormat="false" ht="15" hidden="false" customHeight="true" outlineLevel="0" collapsed="false">
      <c r="A330" s="43" t="n">
        <v>45428</v>
      </c>
      <c r="B330" s="1" t="n">
        <v>2024</v>
      </c>
      <c r="C330" s="1" t="s">
        <v>62</v>
      </c>
      <c r="D330" s="1" t="s">
        <v>112</v>
      </c>
      <c r="E330" s="1" t="s">
        <v>91</v>
      </c>
      <c r="F330" s="1" t="s">
        <v>188</v>
      </c>
      <c r="G330" s="1" t="s">
        <v>131</v>
      </c>
      <c r="H330" s="1" t="s">
        <v>42</v>
      </c>
      <c r="I330" s="1" t="s">
        <v>116</v>
      </c>
      <c r="J330" s="1" t="s">
        <v>128</v>
      </c>
      <c r="K330" s="1" t="s">
        <v>133</v>
      </c>
      <c r="L330" s="1" t="n">
        <v>31</v>
      </c>
      <c r="M330" s="37" t="n">
        <v>56774</v>
      </c>
      <c r="N330" s="44"/>
      <c r="O330" s="1" t="n">
        <v>37559.07</v>
      </c>
      <c r="P330" s="37" t="n">
        <v>1759994</v>
      </c>
      <c r="Q330" s="37" t="n">
        <v>1759994</v>
      </c>
      <c r="R330" s="37" t="n">
        <v>595662.83</v>
      </c>
      <c r="S330" s="1" t="s">
        <v>104</v>
      </c>
    </row>
    <row r="331" customFormat="false" ht="15" hidden="false" customHeight="true" outlineLevel="0" collapsed="false">
      <c r="A331" s="43" t="n">
        <v>45446</v>
      </c>
      <c r="B331" s="1" t="n">
        <v>2024</v>
      </c>
      <c r="C331" s="1" t="s">
        <v>65</v>
      </c>
      <c r="D331" s="1" t="s">
        <v>112</v>
      </c>
      <c r="E331" s="1" t="s">
        <v>105</v>
      </c>
      <c r="F331" s="1" t="s">
        <v>130</v>
      </c>
      <c r="G331" s="1" t="s">
        <v>207</v>
      </c>
      <c r="H331" s="1" t="s">
        <v>45</v>
      </c>
      <c r="I331" s="1" t="s">
        <v>94</v>
      </c>
      <c r="J331" s="1" t="s">
        <v>95</v>
      </c>
      <c r="K331" s="1" t="s">
        <v>110</v>
      </c>
      <c r="L331" s="1" t="n">
        <v>27</v>
      </c>
      <c r="M331" s="37" t="n">
        <v>75882</v>
      </c>
      <c r="N331" s="44" t="n">
        <v>0.12</v>
      </c>
      <c r="O331" s="1" t="n">
        <v>44340.57</v>
      </c>
      <c r="P331" s="37" t="n">
        <v>2048814</v>
      </c>
      <c r="Q331" s="37" t="n">
        <v>1802956.32</v>
      </c>
      <c r="R331" s="37" t="n">
        <v>605760.93</v>
      </c>
      <c r="S331" s="1" t="s">
        <v>119</v>
      </c>
    </row>
    <row r="332" customFormat="false" ht="15" hidden="false" customHeight="true" outlineLevel="0" collapsed="false">
      <c r="A332" s="43" t="n">
        <v>45491</v>
      </c>
      <c r="B332" s="1" t="n">
        <v>2024</v>
      </c>
      <c r="C332" s="1" t="s">
        <v>66</v>
      </c>
      <c r="D332" s="1" t="s">
        <v>126</v>
      </c>
      <c r="E332" s="1" t="s">
        <v>137</v>
      </c>
      <c r="F332" s="1" t="s">
        <v>151</v>
      </c>
      <c r="G332" s="1" t="s">
        <v>165</v>
      </c>
      <c r="H332" s="1" t="s">
        <v>39</v>
      </c>
      <c r="I332" s="1" t="s">
        <v>38</v>
      </c>
      <c r="J332" s="1" t="s">
        <v>150</v>
      </c>
      <c r="K332" s="1" t="s">
        <v>123</v>
      </c>
      <c r="L332" s="1" t="n">
        <v>37</v>
      </c>
      <c r="M332" s="37" t="n">
        <v>41969</v>
      </c>
      <c r="N332" s="44" t="n">
        <v>0.12</v>
      </c>
      <c r="O332" s="1" t="n">
        <v>23665.58</v>
      </c>
      <c r="P332" s="37" t="n">
        <v>1552853</v>
      </c>
      <c r="Q332" s="37" t="n">
        <v>1366510.64</v>
      </c>
      <c r="R332" s="37" t="n">
        <v>490884.18</v>
      </c>
      <c r="S332" s="1" t="s">
        <v>97</v>
      </c>
    </row>
    <row r="333" customFormat="false" ht="15" hidden="false" customHeight="true" outlineLevel="0" collapsed="false">
      <c r="A333" s="43" t="n">
        <v>45531</v>
      </c>
      <c r="B333" s="1" t="n">
        <v>2024</v>
      </c>
      <c r="C333" s="1" t="s">
        <v>69</v>
      </c>
      <c r="D333" s="1" t="s">
        <v>126</v>
      </c>
      <c r="E333" s="1" t="s">
        <v>129</v>
      </c>
      <c r="F333" s="1" t="s">
        <v>121</v>
      </c>
      <c r="G333" s="1" t="s">
        <v>163</v>
      </c>
      <c r="H333" s="1" t="s">
        <v>45</v>
      </c>
      <c r="I333" s="1" t="s">
        <v>38</v>
      </c>
      <c r="J333" s="1" t="s">
        <v>95</v>
      </c>
      <c r="K333" s="1" t="s">
        <v>123</v>
      </c>
      <c r="L333" s="1" t="n">
        <v>4</v>
      </c>
      <c r="M333" s="37" t="n">
        <v>48416</v>
      </c>
      <c r="N333" s="44" t="n">
        <v>0</v>
      </c>
      <c r="O333" s="1" t="n">
        <v>34616.34</v>
      </c>
      <c r="P333" s="37" t="n">
        <v>193664</v>
      </c>
      <c r="Q333" s="37" t="n">
        <v>193664</v>
      </c>
      <c r="R333" s="37" t="n">
        <v>55198.64</v>
      </c>
      <c r="S333" s="1" t="s">
        <v>172</v>
      </c>
    </row>
    <row r="334" customFormat="false" ht="15" hidden="false" customHeight="true" outlineLevel="0" collapsed="false">
      <c r="A334" s="43" t="n">
        <v>45557</v>
      </c>
      <c r="B334" s="1" t="n">
        <v>2024</v>
      </c>
      <c r="C334" s="1" t="s">
        <v>72</v>
      </c>
      <c r="D334" s="1" t="s">
        <v>126</v>
      </c>
      <c r="E334" s="1" t="s">
        <v>113</v>
      </c>
      <c r="F334" s="1" t="s">
        <v>130</v>
      </c>
      <c r="G334" s="1" t="s">
        <v>189</v>
      </c>
      <c r="H334" s="1" t="s">
        <v>36</v>
      </c>
      <c r="I334" s="1" t="s">
        <v>116</v>
      </c>
      <c r="J334" s="1" t="s">
        <v>117</v>
      </c>
      <c r="K334" s="1" t="s">
        <v>123</v>
      </c>
      <c r="L334" s="1" t="n">
        <v>23</v>
      </c>
      <c r="M334" s="37" t="n">
        <v>659032</v>
      </c>
      <c r="N334" s="44"/>
      <c r="O334" s="1" t="n">
        <v>492081.31</v>
      </c>
      <c r="P334" s="37" t="n">
        <v>15157736</v>
      </c>
      <c r="Q334" s="37" t="n">
        <v>13945117.12</v>
      </c>
      <c r="R334" s="37" t="n">
        <v>2627246.99</v>
      </c>
      <c r="S334" s="1" t="s">
        <v>119</v>
      </c>
    </row>
    <row r="335" customFormat="false" ht="15" hidden="false" customHeight="true" outlineLevel="0" collapsed="false">
      <c r="A335" s="43" t="n">
        <v>45569</v>
      </c>
      <c r="B335" s="1" t="n">
        <v>2024</v>
      </c>
      <c r="C335" s="1" t="s">
        <v>75</v>
      </c>
      <c r="D335" s="1" t="s">
        <v>136</v>
      </c>
      <c r="E335" s="1" t="s">
        <v>105</v>
      </c>
      <c r="F335" s="1" t="s">
        <v>134</v>
      </c>
      <c r="G335" s="1" t="s">
        <v>178</v>
      </c>
      <c r="H335" s="1" t="s">
        <v>39</v>
      </c>
      <c r="I335" s="1" t="s">
        <v>155</v>
      </c>
      <c r="J335" s="1" t="s">
        <v>150</v>
      </c>
      <c r="K335" s="1" t="s">
        <v>118</v>
      </c>
      <c r="L335" s="1" t="n">
        <v>38</v>
      </c>
      <c r="M335" s="37" t="n">
        <v>95395</v>
      </c>
      <c r="N335" s="44" t="n">
        <v>0.08</v>
      </c>
      <c r="O335" s="1" t="n">
        <v>55667.54</v>
      </c>
      <c r="P335" s="37" t="n">
        <v>3625010</v>
      </c>
      <c r="Q335" s="37" t="n">
        <v>3335009.2</v>
      </c>
      <c r="R335" s="37" t="n">
        <v>1219642.68</v>
      </c>
      <c r="S335" s="1" t="s">
        <v>111</v>
      </c>
    </row>
    <row r="336" customFormat="false" ht="15" hidden="false" customHeight="true" outlineLevel="0" collapsed="false">
      <c r="A336" s="43" t="n">
        <v>45601</v>
      </c>
      <c r="B336" s="1" t="n">
        <v>2024</v>
      </c>
      <c r="C336" s="1" t="s">
        <v>76</v>
      </c>
      <c r="D336" s="1" t="s">
        <v>136</v>
      </c>
      <c r="E336" s="1" t="s">
        <v>113</v>
      </c>
      <c r="F336" s="1" t="s">
        <v>143</v>
      </c>
      <c r="G336" s="1" t="s">
        <v>210</v>
      </c>
      <c r="H336" s="1" t="s">
        <v>40</v>
      </c>
      <c r="I336" s="1" t="s">
        <v>108</v>
      </c>
      <c r="J336" s="1" t="s">
        <v>145</v>
      </c>
      <c r="K336" s="1" t="s">
        <v>146</v>
      </c>
      <c r="L336" s="1" t="n">
        <v>5</v>
      </c>
      <c r="M336" s="37" t="n">
        <v>49747</v>
      </c>
      <c r="N336" s="44" t="n">
        <v>0.12</v>
      </c>
      <c r="O336" s="1" t="n">
        <v>33841.61</v>
      </c>
      <c r="P336" s="37" t="n">
        <v>248735</v>
      </c>
      <c r="Q336" s="37" t="n">
        <v>218886.8</v>
      </c>
      <c r="R336" s="37" t="n">
        <v>49678.75</v>
      </c>
      <c r="S336" s="1" t="s">
        <v>104</v>
      </c>
    </row>
    <row r="337" customFormat="false" ht="15" hidden="false" customHeight="true" outlineLevel="0" collapsed="false">
      <c r="A337" s="43" t="n">
        <v>45640</v>
      </c>
      <c r="B337" s="1" t="n">
        <v>2024</v>
      </c>
      <c r="C337" s="1" t="s">
        <v>77</v>
      </c>
      <c r="D337" s="1" t="s">
        <v>136</v>
      </c>
      <c r="E337" s="1" t="s">
        <v>129</v>
      </c>
      <c r="F337" s="1" t="s">
        <v>99</v>
      </c>
      <c r="G337" s="1" t="s">
        <v>142</v>
      </c>
      <c r="H337" s="1" t="s">
        <v>44</v>
      </c>
      <c r="I337" s="1" t="s">
        <v>144</v>
      </c>
      <c r="J337" s="1" t="s">
        <v>109</v>
      </c>
      <c r="K337" s="1" t="s">
        <v>118</v>
      </c>
      <c r="L337" s="1" t="n">
        <v>36</v>
      </c>
      <c r="M337" s="37" t="n">
        <v>112850</v>
      </c>
      <c r="N337" s="44" t="n">
        <v>0.1</v>
      </c>
      <c r="O337" s="1" t="n">
        <v>67559.93</v>
      </c>
      <c r="P337" s="37" t="n">
        <v>4062600</v>
      </c>
      <c r="Q337" s="37" t="n">
        <v>3656340</v>
      </c>
      <c r="R337" s="37" t="n">
        <v>1224182.52</v>
      </c>
      <c r="S337" s="1" t="s">
        <v>97</v>
      </c>
    </row>
    <row r="338" customFormat="false" ht="15" hidden="false" customHeight="true" outlineLevel="0" collapsed="false">
      <c r="A338" s="43" t="n">
        <v>45310</v>
      </c>
      <c r="B338" s="1" t="n">
        <v>2024</v>
      </c>
      <c r="C338" s="1" t="s">
        <v>50</v>
      </c>
      <c r="D338" s="1" t="s">
        <v>90</v>
      </c>
      <c r="E338" s="1" t="s">
        <v>113</v>
      </c>
      <c r="F338" s="1" t="s">
        <v>114</v>
      </c>
      <c r="G338" s="1" t="s">
        <v>179</v>
      </c>
      <c r="H338" s="1" t="s">
        <v>43</v>
      </c>
      <c r="I338" s="1" t="s">
        <v>116</v>
      </c>
      <c r="J338" s="1" t="s">
        <v>148</v>
      </c>
      <c r="K338" s="1" t="s">
        <v>123</v>
      </c>
      <c r="L338" s="1" t="n">
        <v>24</v>
      </c>
      <c r="M338" s="37" t="n">
        <v>138230</v>
      </c>
      <c r="N338" s="44" t="n">
        <v>0.05</v>
      </c>
      <c r="O338" s="1" t="n">
        <v>69077.76</v>
      </c>
      <c r="P338" s="37" t="n">
        <v>3317520</v>
      </c>
      <c r="Q338" s="37" t="n">
        <v>3151644</v>
      </c>
      <c r="R338" s="37" t="n">
        <v>1493777.76</v>
      </c>
      <c r="S338" s="1" t="s">
        <v>172</v>
      </c>
    </row>
    <row r="339" customFormat="false" ht="15" hidden="false" customHeight="true" outlineLevel="0" collapsed="false">
      <c r="A339" s="43" t="n">
        <v>45339</v>
      </c>
      <c r="B339" s="1" t="n">
        <v>2024</v>
      </c>
      <c r="C339" s="1" t="s">
        <v>53</v>
      </c>
      <c r="D339" s="1" t="s">
        <v>90</v>
      </c>
      <c r="E339" s="1" t="s">
        <v>129</v>
      </c>
      <c r="F339" s="1" t="s">
        <v>114</v>
      </c>
      <c r="G339" s="1" t="s">
        <v>203</v>
      </c>
      <c r="H339" s="1" t="s">
        <v>34</v>
      </c>
      <c r="I339" s="1" t="s">
        <v>101</v>
      </c>
      <c r="J339" s="1" t="s">
        <v>132</v>
      </c>
      <c r="K339" s="1" t="s">
        <v>206</v>
      </c>
      <c r="L339" s="1" t="n">
        <v>5</v>
      </c>
      <c r="M339" s="37" t="n">
        <v>153347</v>
      </c>
      <c r="N339" s="44" t="n">
        <v>0.2</v>
      </c>
      <c r="O339" s="1" t="n">
        <v>101908.85</v>
      </c>
      <c r="P339" s="37" t="n">
        <v>766735</v>
      </c>
      <c r="Q339" s="37" t="n">
        <v>613388</v>
      </c>
      <c r="R339" s="37" t="n">
        <v>103843.75</v>
      </c>
      <c r="S339" s="1" t="s">
        <v>119</v>
      </c>
    </row>
    <row r="340" customFormat="false" ht="15" hidden="false" customHeight="true" outlineLevel="0" collapsed="false">
      <c r="A340" s="43" t="n">
        <v>45363</v>
      </c>
      <c r="B340" s="1" t="n">
        <v>2024</v>
      </c>
      <c r="C340" s="1" t="s">
        <v>56</v>
      </c>
      <c r="D340" s="1" t="s">
        <v>90</v>
      </c>
      <c r="E340" s="1" t="s">
        <v>105</v>
      </c>
      <c r="F340" s="1" t="s">
        <v>130</v>
      </c>
      <c r="G340" s="1" t="s">
        <v>197</v>
      </c>
      <c r="H340" s="1" t="s">
        <v>40</v>
      </c>
      <c r="I340" s="1" t="s">
        <v>144</v>
      </c>
      <c r="J340" s="1" t="s">
        <v>145</v>
      </c>
      <c r="K340" s="1" t="s">
        <v>146</v>
      </c>
      <c r="L340" s="1" t="n">
        <v>39</v>
      </c>
      <c r="M340" s="37" t="n">
        <v>159772</v>
      </c>
      <c r="N340" s="44" t="n">
        <v>0.12</v>
      </c>
      <c r="O340" s="1" t="n">
        <v>104227.17</v>
      </c>
      <c r="P340" s="37" t="n">
        <v>6231108</v>
      </c>
      <c r="Q340" s="37" t="n">
        <v>5483375.04</v>
      </c>
      <c r="R340" s="37" t="n">
        <v>1418515.41</v>
      </c>
      <c r="S340" s="1" t="s">
        <v>111</v>
      </c>
    </row>
    <row r="341" customFormat="false" ht="15" hidden="false" customHeight="true" outlineLevel="0" collapsed="false">
      <c r="A341" s="43" t="n">
        <v>45385</v>
      </c>
      <c r="B341" s="1" t="n">
        <v>2024</v>
      </c>
      <c r="C341" s="1" t="s">
        <v>59</v>
      </c>
      <c r="D341" s="1" t="s">
        <v>112</v>
      </c>
      <c r="E341" s="1" t="s">
        <v>120</v>
      </c>
      <c r="F341" s="1" t="s">
        <v>160</v>
      </c>
      <c r="G341" s="1" t="s">
        <v>100</v>
      </c>
      <c r="H341" s="1" t="s">
        <v>42</v>
      </c>
      <c r="I341" s="1" t="s">
        <v>33</v>
      </c>
      <c r="J341" s="1" t="s">
        <v>128</v>
      </c>
      <c r="K341" s="1" t="s">
        <v>133</v>
      </c>
      <c r="L341" s="1" t="n">
        <v>9</v>
      </c>
      <c r="M341" s="37" t="n">
        <v>84146</v>
      </c>
      <c r="N341" s="44" t="n">
        <v>0</v>
      </c>
      <c r="O341" s="1" t="n">
        <v>59701.6</v>
      </c>
      <c r="P341" s="37" t="n">
        <v>757314</v>
      </c>
      <c r="Q341" s="37" t="n">
        <v>757314</v>
      </c>
      <c r="R341" s="37" t="n">
        <v>219999.6</v>
      </c>
      <c r="S341" s="1" t="s">
        <v>111</v>
      </c>
    </row>
    <row r="342" customFormat="false" ht="15" hidden="false" customHeight="true" outlineLevel="0" collapsed="false">
      <c r="A342" s="43" t="n">
        <v>45438</v>
      </c>
      <c r="B342" s="1" t="n">
        <v>2024</v>
      </c>
      <c r="C342" s="1" t="s">
        <v>62</v>
      </c>
      <c r="D342" s="1" t="s">
        <v>112</v>
      </c>
      <c r="E342" s="1" t="s">
        <v>137</v>
      </c>
      <c r="F342" s="1" t="s">
        <v>99</v>
      </c>
      <c r="G342" s="1" t="s">
        <v>213</v>
      </c>
      <c r="H342" s="1" t="s">
        <v>37</v>
      </c>
      <c r="I342" s="1" t="s">
        <v>94</v>
      </c>
      <c r="J342" s="1" t="s">
        <v>150</v>
      </c>
      <c r="K342" s="1" t="s">
        <v>103</v>
      </c>
      <c r="L342" s="1" t="n">
        <v>34</v>
      </c>
      <c r="M342" s="37" t="n">
        <v>101875</v>
      </c>
      <c r="N342" s="44" t="n">
        <v>0.1</v>
      </c>
      <c r="O342" s="1" t="n">
        <v>67078.62</v>
      </c>
      <c r="P342" s="37" t="n">
        <v>3463750</v>
      </c>
      <c r="Q342" s="37" t="n">
        <v>3117375</v>
      </c>
      <c r="R342" s="37" t="n">
        <v>836701.92</v>
      </c>
      <c r="S342" s="1" t="s">
        <v>104</v>
      </c>
    </row>
    <row r="343" customFormat="false" ht="15" hidden="false" customHeight="true" outlineLevel="0" collapsed="false">
      <c r="A343" s="43" t="n">
        <v>45467</v>
      </c>
      <c r="B343" s="1" t="n">
        <v>2024</v>
      </c>
      <c r="C343" s="1" t="s">
        <v>65</v>
      </c>
      <c r="D343" s="1" t="s">
        <v>112</v>
      </c>
      <c r="E343" s="1" t="s">
        <v>137</v>
      </c>
      <c r="F343" s="1" t="s">
        <v>151</v>
      </c>
      <c r="G343" s="1" t="s">
        <v>198</v>
      </c>
      <c r="H343" s="1" t="s">
        <v>42</v>
      </c>
      <c r="I343" s="1" t="s">
        <v>116</v>
      </c>
      <c r="J343" s="1" t="s">
        <v>128</v>
      </c>
      <c r="K343" s="1" t="s">
        <v>146</v>
      </c>
      <c r="L343" s="1" t="n">
        <v>17</v>
      </c>
      <c r="M343" s="37" t="n">
        <v>42407</v>
      </c>
      <c r="N343" s="44" t="n">
        <v>0.12</v>
      </c>
      <c r="O343" s="1" t="n">
        <v>25001.5</v>
      </c>
      <c r="P343" s="37" t="n">
        <v>720919</v>
      </c>
      <c r="Q343" s="37" t="n">
        <v>634408.72</v>
      </c>
      <c r="R343" s="37" t="n">
        <v>209383.22</v>
      </c>
      <c r="S343" s="1" t="s">
        <v>119</v>
      </c>
    </row>
    <row r="344" customFormat="false" ht="15" hidden="false" customHeight="true" outlineLevel="0" collapsed="false">
      <c r="A344" s="43" t="n">
        <v>45486</v>
      </c>
      <c r="B344" s="1" t="n">
        <v>2024</v>
      </c>
      <c r="C344" s="1" t="s">
        <v>66</v>
      </c>
      <c r="D344" s="1" t="s">
        <v>126</v>
      </c>
      <c r="E344" s="1" t="s">
        <v>98</v>
      </c>
      <c r="F344" s="1" t="s">
        <v>134</v>
      </c>
      <c r="G344" s="1" t="s">
        <v>154</v>
      </c>
      <c r="H344" s="1" t="s">
        <v>46</v>
      </c>
      <c r="I344" s="1" t="s">
        <v>101</v>
      </c>
      <c r="J344" s="1" t="s">
        <v>102</v>
      </c>
      <c r="K344" s="1" t="s">
        <v>103</v>
      </c>
      <c r="L344" s="1" t="n">
        <v>336</v>
      </c>
      <c r="M344" s="37" t="n">
        <v>112140</v>
      </c>
      <c r="N344" s="44" t="n">
        <v>0</v>
      </c>
      <c r="O344" s="1" t="n">
        <v>54284.45</v>
      </c>
      <c r="P344" s="37" t="n">
        <v>37679040</v>
      </c>
      <c r="Q344" s="37" t="n">
        <v>37679040</v>
      </c>
      <c r="R344" s="37" t="n">
        <v>19439464.8</v>
      </c>
      <c r="S344" s="1" t="s">
        <v>111</v>
      </c>
    </row>
    <row r="345" customFormat="false" ht="15" hidden="false" customHeight="true" outlineLevel="0" collapsed="false">
      <c r="A345" s="43" t="n">
        <v>45513</v>
      </c>
      <c r="B345" s="1" t="n">
        <v>2024</v>
      </c>
      <c r="C345" s="1" t="s">
        <v>69</v>
      </c>
      <c r="D345" s="1" t="s">
        <v>126</v>
      </c>
      <c r="E345" s="1" t="s">
        <v>113</v>
      </c>
      <c r="F345" s="1" t="s">
        <v>188</v>
      </c>
      <c r="G345" s="1" t="s">
        <v>124</v>
      </c>
      <c r="H345" s="1" t="s">
        <v>39</v>
      </c>
      <c r="I345" s="1" t="s">
        <v>94</v>
      </c>
      <c r="J345" s="1" t="s">
        <v>150</v>
      </c>
      <c r="K345" s="1" t="s">
        <v>219</v>
      </c>
      <c r="L345" s="1" t="n">
        <v>16</v>
      </c>
      <c r="M345" s="37" t="n">
        <v>166330</v>
      </c>
      <c r="N345" s="44"/>
      <c r="O345" s="1" t="n">
        <v>114302.2</v>
      </c>
      <c r="P345" s="37" t="n">
        <v>2661280</v>
      </c>
      <c r="Q345" s="37" t="n">
        <v>2661280</v>
      </c>
      <c r="R345" s="37" t="n">
        <v>832444.8</v>
      </c>
      <c r="S345" s="1" t="s">
        <v>104</v>
      </c>
    </row>
    <row r="346" customFormat="false" ht="15" hidden="false" customHeight="true" outlineLevel="0" collapsed="false">
      <c r="A346" s="43" t="n">
        <v>45557</v>
      </c>
      <c r="B346" s="1" t="n">
        <v>2024</v>
      </c>
      <c r="C346" s="1" t="s">
        <v>72</v>
      </c>
      <c r="D346" s="1" t="s">
        <v>126</v>
      </c>
      <c r="E346" s="1" t="s">
        <v>98</v>
      </c>
      <c r="F346" s="1" t="s">
        <v>134</v>
      </c>
      <c r="G346" s="1" t="s">
        <v>200</v>
      </c>
      <c r="H346" s="1" t="s">
        <v>34</v>
      </c>
      <c r="I346" s="1" t="s">
        <v>101</v>
      </c>
      <c r="J346" s="1" t="s">
        <v>132</v>
      </c>
      <c r="K346" s="1" t="s">
        <v>133</v>
      </c>
      <c r="L346" s="1" t="n">
        <v>78</v>
      </c>
      <c r="M346" s="37" t="n">
        <v>26911</v>
      </c>
      <c r="N346" s="44" t="n">
        <v>0.15</v>
      </c>
      <c r="O346" s="1" t="n">
        <v>21062.46</v>
      </c>
      <c r="P346" s="37" t="n">
        <v>2099058</v>
      </c>
      <c r="Q346" s="37" t="n">
        <v>1784199.3</v>
      </c>
      <c r="R346" s="37" t="n">
        <v>141327.42</v>
      </c>
      <c r="S346" s="1" t="s">
        <v>172</v>
      </c>
    </row>
    <row r="347" customFormat="false" ht="15" hidden="false" customHeight="true" outlineLevel="0" collapsed="false">
      <c r="A347" s="43" t="n">
        <v>45590</v>
      </c>
      <c r="B347" s="1" t="n">
        <v>2024</v>
      </c>
      <c r="C347" s="1" t="s">
        <v>75</v>
      </c>
      <c r="D347" s="1" t="s">
        <v>136</v>
      </c>
      <c r="E347" s="1" t="s">
        <v>137</v>
      </c>
      <c r="F347" s="1" t="s">
        <v>160</v>
      </c>
      <c r="G347" s="1" t="s">
        <v>131</v>
      </c>
      <c r="H347" s="1" t="s">
        <v>45</v>
      </c>
      <c r="I347" s="1" t="s">
        <v>155</v>
      </c>
      <c r="J347" s="1" t="s">
        <v>95</v>
      </c>
      <c r="K347" s="1" t="s">
        <v>123</v>
      </c>
      <c r="L347" s="1" t="n">
        <v>12</v>
      </c>
      <c r="M347" s="37" t="n">
        <v>134409</v>
      </c>
      <c r="N347" s="44" t="n">
        <v>0.05</v>
      </c>
      <c r="O347" s="1" t="n">
        <v>90534.3</v>
      </c>
      <c r="P347" s="37" t="n">
        <v>1612908</v>
      </c>
      <c r="Q347" s="37" t="n">
        <v>1532262.6</v>
      </c>
      <c r="R347" s="37" t="n">
        <v>445851</v>
      </c>
      <c r="S347" s="1" t="s">
        <v>119</v>
      </c>
    </row>
    <row r="348" customFormat="false" ht="15" hidden="false" customHeight="true" outlineLevel="0" collapsed="false">
      <c r="A348" s="43" t="n">
        <v>45621</v>
      </c>
      <c r="B348" s="1" t="n">
        <v>2024</v>
      </c>
      <c r="C348" s="1" t="s">
        <v>76</v>
      </c>
      <c r="D348" s="1" t="s">
        <v>136</v>
      </c>
      <c r="E348" s="1" t="s">
        <v>91</v>
      </c>
      <c r="F348" s="1" t="s">
        <v>134</v>
      </c>
      <c r="G348" s="1" t="s">
        <v>185</v>
      </c>
      <c r="H348" s="1" t="s">
        <v>35</v>
      </c>
      <c r="I348" s="1" t="s">
        <v>101</v>
      </c>
      <c r="J348" s="1" t="s">
        <v>132</v>
      </c>
      <c r="K348" s="1" t="s">
        <v>118</v>
      </c>
      <c r="L348" s="1" t="n">
        <v>22</v>
      </c>
      <c r="M348" s="37" t="n">
        <v>79695</v>
      </c>
      <c r="N348" s="44" t="n">
        <v>0.2</v>
      </c>
      <c r="O348" s="1" t="n">
        <v>40825.78</v>
      </c>
      <c r="P348" s="37" t="n">
        <v>1753290</v>
      </c>
      <c r="Q348" s="37" t="n">
        <v>1402632</v>
      </c>
      <c r="R348" s="37" t="n">
        <v>504464.84</v>
      </c>
      <c r="S348" s="1" t="s">
        <v>97</v>
      </c>
    </row>
    <row r="349" customFormat="false" ht="15" hidden="false" customHeight="true" outlineLevel="0" collapsed="false">
      <c r="A349" s="43" t="n">
        <v>45631</v>
      </c>
      <c r="B349" s="1" t="n">
        <v>2024</v>
      </c>
      <c r="C349" s="1" t="s">
        <v>77</v>
      </c>
      <c r="D349" s="1" t="s">
        <v>136</v>
      </c>
      <c r="E349" s="1" t="s">
        <v>129</v>
      </c>
      <c r="F349" s="1" t="s">
        <v>138</v>
      </c>
      <c r="G349" s="1" t="s">
        <v>187</v>
      </c>
      <c r="H349" s="1" t="s">
        <v>34</v>
      </c>
      <c r="I349" s="1" t="s">
        <v>116</v>
      </c>
      <c r="J349" s="1" t="s">
        <v>132</v>
      </c>
      <c r="K349" s="1" t="s">
        <v>118</v>
      </c>
      <c r="L349" s="1" t="n">
        <v>17</v>
      </c>
      <c r="M349" s="37" t="n">
        <v>31115</v>
      </c>
      <c r="N349" s="44" t="n">
        <v>0.2</v>
      </c>
      <c r="O349" s="1" t="n">
        <v>22466.06</v>
      </c>
      <c r="P349" s="37" t="n">
        <v>528955</v>
      </c>
      <c r="Q349" s="37" t="n">
        <v>423164</v>
      </c>
      <c r="R349" s="37" t="n">
        <v>41240.98</v>
      </c>
      <c r="S349" s="1" t="s">
        <v>97</v>
      </c>
    </row>
    <row r="350" customFormat="false" ht="15" hidden="false" customHeight="true" outlineLevel="0" collapsed="false">
      <c r="A350" s="43" t="n">
        <v>45300</v>
      </c>
      <c r="B350" s="1" t="n">
        <v>2024</v>
      </c>
      <c r="C350" s="1" t="s">
        <v>50</v>
      </c>
      <c r="D350" s="1" t="s">
        <v>90</v>
      </c>
      <c r="E350" s="1" t="s">
        <v>120</v>
      </c>
      <c r="F350" s="1" t="s">
        <v>92</v>
      </c>
      <c r="G350" s="1" t="s">
        <v>124</v>
      </c>
      <c r="H350" s="1" t="s">
        <v>40</v>
      </c>
      <c r="I350" s="1" t="s">
        <v>108</v>
      </c>
      <c r="J350" s="1" t="s">
        <v>145</v>
      </c>
      <c r="K350" s="1" t="s">
        <v>220</v>
      </c>
      <c r="L350" s="1" t="n">
        <v>1</v>
      </c>
      <c r="M350" s="37" t="n">
        <v>140628</v>
      </c>
      <c r="N350" s="44" t="n">
        <v>0.08</v>
      </c>
      <c r="O350" s="1" t="n">
        <v>104826.53</v>
      </c>
      <c r="P350" s="37" t="n">
        <v>140628</v>
      </c>
      <c r="Q350" s="37" t="n">
        <v>129377.76</v>
      </c>
      <c r="R350" s="37" t="n">
        <v>24551.23</v>
      </c>
      <c r="S350" s="1" t="s">
        <v>97</v>
      </c>
    </row>
    <row r="351" customFormat="false" ht="15" hidden="false" customHeight="true" outlineLevel="0" collapsed="false">
      <c r="A351" s="43" t="n">
        <v>45334</v>
      </c>
      <c r="B351" s="1" t="n">
        <v>2024</v>
      </c>
      <c r="C351" s="1" t="s">
        <v>53</v>
      </c>
      <c r="D351" s="1" t="s">
        <v>90</v>
      </c>
      <c r="E351" s="1" t="s">
        <v>113</v>
      </c>
      <c r="F351" s="1" t="s">
        <v>92</v>
      </c>
      <c r="G351" s="1" t="s">
        <v>207</v>
      </c>
      <c r="H351" s="1" t="s">
        <v>43</v>
      </c>
      <c r="I351" s="1" t="s">
        <v>33</v>
      </c>
      <c r="J351" s="1" t="s">
        <v>148</v>
      </c>
      <c r="K351" s="1" t="s">
        <v>146</v>
      </c>
      <c r="L351" s="1" t="n">
        <v>6</v>
      </c>
      <c r="M351" s="37" t="n">
        <v>101145</v>
      </c>
      <c r="N351" s="44" t="n">
        <v>0.12</v>
      </c>
      <c r="O351" s="1" t="n">
        <v>72435.86</v>
      </c>
      <c r="P351" s="37" t="n">
        <v>606870</v>
      </c>
      <c r="Q351" s="37" t="n">
        <v>534045.6</v>
      </c>
      <c r="R351" s="37" t="n">
        <v>99430.44</v>
      </c>
      <c r="S351" s="1" t="s">
        <v>119</v>
      </c>
    </row>
    <row r="352" customFormat="false" ht="15" hidden="false" customHeight="true" outlineLevel="0" collapsed="false">
      <c r="A352" s="43" t="n">
        <v>45374</v>
      </c>
      <c r="B352" s="1" t="n">
        <v>2024</v>
      </c>
      <c r="C352" s="1" t="s">
        <v>56</v>
      </c>
      <c r="D352" s="1" t="s">
        <v>90</v>
      </c>
      <c r="E352" s="1" t="s">
        <v>98</v>
      </c>
      <c r="F352" s="1" t="s">
        <v>106</v>
      </c>
      <c r="G352" s="1" t="s">
        <v>157</v>
      </c>
      <c r="H352" s="1" t="s">
        <v>37</v>
      </c>
      <c r="I352" s="1" t="s">
        <v>94</v>
      </c>
      <c r="J352" s="1" t="s">
        <v>150</v>
      </c>
      <c r="K352" s="1" t="s">
        <v>118</v>
      </c>
      <c r="L352" s="1" t="n">
        <v>6</v>
      </c>
      <c r="M352" s="37" t="n">
        <v>126814</v>
      </c>
      <c r="N352" s="44" t="n">
        <v>0.1</v>
      </c>
      <c r="O352" s="1" t="n">
        <v>58650.76</v>
      </c>
      <c r="P352" s="37" t="n">
        <v>760884</v>
      </c>
      <c r="Q352" s="37" t="n">
        <v>684795.6</v>
      </c>
      <c r="R352" s="37" t="n">
        <v>332891.04</v>
      </c>
      <c r="S352" s="1" t="s">
        <v>97</v>
      </c>
    </row>
    <row r="353" customFormat="false" ht="15" hidden="false" customHeight="true" outlineLevel="0" collapsed="false">
      <c r="A353" s="43" t="n">
        <v>45392</v>
      </c>
      <c r="B353" s="1" t="n">
        <v>2024</v>
      </c>
      <c r="C353" s="1" t="s">
        <v>59</v>
      </c>
      <c r="D353" s="1" t="s">
        <v>112</v>
      </c>
      <c r="E353" s="1" t="s">
        <v>98</v>
      </c>
      <c r="F353" s="1" t="s">
        <v>158</v>
      </c>
      <c r="G353" s="1" t="s">
        <v>214</v>
      </c>
      <c r="H353" s="1" t="s">
        <v>45</v>
      </c>
      <c r="I353" s="1" t="s">
        <v>94</v>
      </c>
      <c r="J353" s="1" t="s">
        <v>95</v>
      </c>
      <c r="K353" s="1" t="s">
        <v>146</v>
      </c>
      <c r="L353" s="1" t="n">
        <v>22</v>
      </c>
      <c r="M353" s="37" t="n">
        <v>23223</v>
      </c>
      <c r="N353" s="44" t="n">
        <v>0.15</v>
      </c>
      <c r="O353" s="1" t="n">
        <v>17010.53</v>
      </c>
      <c r="P353" s="37" t="n">
        <v>510906</v>
      </c>
      <c r="Q353" s="37" t="n">
        <v>434270.1</v>
      </c>
      <c r="R353" s="37" t="n">
        <v>60038.44</v>
      </c>
      <c r="S353" s="1" t="s">
        <v>172</v>
      </c>
    </row>
    <row r="354" customFormat="false" ht="15" hidden="false" customHeight="true" outlineLevel="0" collapsed="false">
      <c r="A354" s="43" t="n">
        <v>45420</v>
      </c>
      <c r="B354" s="1" t="n">
        <v>2024</v>
      </c>
      <c r="C354" s="1" t="s">
        <v>62</v>
      </c>
      <c r="D354" s="1" t="s">
        <v>112</v>
      </c>
      <c r="E354" s="1" t="s">
        <v>91</v>
      </c>
      <c r="F354" s="1" t="s">
        <v>106</v>
      </c>
      <c r="G354" s="1" t="s">
        <v>193</v>
      </c>
      <c r="H354" s="1" t="s">
        <v>44</v>
      </c>
      <c r="I354" s="1" t="s">
        <v>41</v>
      </c>
      <c r="J354" s="1" t="s">
        <v>109</v>
      </c>
      <c r="K354" s="1" t="s">
        <v>118</v>
      </c>
      <c r="L354" s="1" t="n">
        <v>2</v>
      </c>
      <c r="M354" s="37" t="n">
        <v>174102</v>
      </c>
      <c r="N354" s="44" t="n">
        <v>0.1</v>
      </c>
      <c r="O354" s="1" t="n">
        <v>79221.25</v>
      </c>
      <c r="P354" s="37" t="n">
        <v>348204</v>
      </c>
      <c r="Q354" s="37" t="n">
        <v>313383.6</v>
      </c>
      <c r="R354" s="37" t="n">
        <v>154941.1</v>
      </c>
      <c r="S354" s="1" t="s">
        <v>172</v>
      </c>
    </row>
    <row r="355" customFormat="false" ht="15" hidden="false" customHeight="true" outlineLevel="0" collapsed="false">
      <c r="A355" s="43" t="n">
        <v>45446</v>
      </c>
      <c r="B355" s="1" t="n">
        <v>2024</v>
      </c>
      <c r="C355" s="1" t="s">
        <v>65</v>
      </c>
      <c r="D355" s="1" t="s">
        <v>112</v>
      </c>
      <c r="E355" s="1" t="s">
        <v>105</v>
      </c>
      <c r="F355" s="1" t="s">
        <v>114</v>
      </c>
      <c r="G355" s="1" t="s">
        <v>163</v>
      </c>
      <c r="H355" s="1" t="s">
        <v>44</v>
      </c>
      <c r="I355" s="1" t="s">
        <v>41</v>
      </c>
      <c r="J355" s="1" t="s">
        <v>109</v>
      </c>
      <c r="K355" s="1" t="s">
        <v>110</v>
      </c>
      <c r="L355" s="1" t="n">
        <v>40</v>
      </c>
      <c r="M355" s="37" t="n">
        <v>65121</v>
      </c>
      <c r="N355" s="44" t="n">
        <v>0.08</v>
      </c>
      <c r="O355" s="1" t="n">
        <v>36694.53</v>
      </c>
      <c r="P355" s="37" t="n">
        <v>2604840</v>
      </c>
      <c r="Q355" s="37" t="n">
        <v>2396452.8</v>
      </c>
      <c r="R355" s="37" t="n">
        <v>928671.6</v>
      </c>
      <c r="S355" s="1" t="s">
        <v>172</v>
      </c>
    </row>
    <row r="356" customFormat="false" ht="15" hidden="false" customHeight="true" outlineLevel="0" collapsed="false">
      <c r="A356" s="43" t="n">
        <v>45479</v>
      </c>
      <c r="B356" s="1" t="n">
        <v>2024</v>
      </c>
      <c r="C356" s="1" t="s">
        <v>66</v>
      </c>
      <c r="D356" s="1" t="s">
        <v>126</v>
      </c>
      <c r="E356" s="1" t="s">
        <v>113</v>
      </c>
      <c r="F356" s="1" t="s">
        <v>114</v>
      </c>
      <c r="G356" s="1" t="s">
        <v>100</v>
      </c>
      <c r="H356" s="1" t="s">
        <v>44</v>
      </c>
      <c r="I356" s="1" t="s">
        <v>41</v>
      </c>
      <c r="J356" s="1" t="s">
        <v>109</v>
      </c>
      <c r="K356" s="1" t="s">
        <v>96</v>
      </c>
      <c r="L356" s="1" t="n">
        <v>27</v>
      </c>
      <c r="M356" s="37" t="n">
        <v>108974</v>
      </c>
      <c r="N356" s="44" t="n">
        <v>0.12</v>
      </c>
      <c r="O356" s="1" t="n">
        <v>58331.12</v>
      </c>
      <c r="P356" s="37" t="n">
        <v>2942298</v>
      </c>
      <c r="Q356" s="37" t="n">
        <v>2589222.24</v>
      </c>
      <c r="R356" s="37" t="n">
        <v>1014282</v>
      </c>
      <c r="S356" s="1" t="s">
        <v>111</v>
      </c>
    </row>
    <row r="357" customFormat="false" ht="15" hidden="false" customHeight="true" outlineLevel="0" collapsed="false">
      <c r="A357" s="43" t="n">
        <v>45520</v>
      </c>
      <c r="B357" s="1" t="n">
        <v>2024</v>
      </c>
      <c r="C357" s="1" t="s">
        <v>69</v>
      </c>
      <c r="D357" s="1" t="s">
        <v>126</v>
      </c>
      <c r="E357" s="1" t="s">
        <v>91</v>
      </c>
      <c r="F357" s="1" t="s">
        <v>114</v>
      </c>
      <c r="G357" s="1" t="s">
        <v>196</v>
      </c>
      <c r="H357" s="1" t="s">
        <v>32</v>
      </c>
      <c r="I357" s="1" t="s">
        <v>33</v>
      </c>
      <c r="J357" s="1" t="s">
        <v>176</v>
      </c>
      <c r="K357" s="1" t="s">
        <v>146</v>
      </c>
      <c r="L357" s="1" t="n">
        <v>38</v>
      </c>
      <c r="M357" s="37" t="n">
        <v>121110</v>
      </c>
      <c r="N357" s="44" t="n">
        <v>0.12</v>
      </c>
      <c r="O357" s="1" t="n">
        <v>83847.53</v>
      </c>
      <c r="P357" s="37" t="n">
        <v>4602180</v>
      </c>
      <c r="Q357" s="37" t="n">
        <v>4049918.4</v>
      </c>
      <c r="R357" s="37" t="n">
        <v>863712.26</v>
      </c>
      <c r="S357" s="1" t="s">
        <v>104</v>
      </c>
    </row>
    <row r="358" customFormat="false" ht="15" hidden="false" customHeight="true" outlineLevel="0" collapsed="false">
      <c r="A358" s="43" t="n">
        <v>45558</v>
      </c>
      <c r="B358" s="1" t="n">
        <v>2024</v>
      </c>
      <c r="C358" s="1" t="s">
        <v>72</v>
      </c>
      <c r="D358" s="1" t="s">
        <v>126</v>
      </c>
      <c r="E358" s="1" t="s">
        <v>91</v>
      </c>
      <c r="F358" s="1" t="s">
        <v>160</v>
      </c>
      <c r="G358" s="1" t="s">
        <v>163</v>
      </c>
      <c r="H358" s="1" t="s">
        <v>44</v>
      </c>
      <c r="I358" s="1" t="s">
        <v>108</v>
      </c>
      <c r="J358" s="1" t="s">
        <v>109</v>
      </c>
      <c r="K358" s="1" t="s">
        <v>110</v>
      </c>
      <c r="L358" s="1" t="n">
        <v>6</v>
      </c>
      <c r="M358" s="37" t="n">
        <v>90957</v>
      </c>
      <c r="N358" s="44" t="n">
        <v>0</v>
      </c>
      <c r="O358" s="1" t="n">
        <v>58685.33</v>
      </c>
      <c r="P358" s="37" t="n">
        <v>545742</v>
      </c>
      <c r="Q358" s="37" t="n">
        <v>545742</v>
      </c>
      <c r="R358" s="37" t="n">
        <v>193630.02</v>
      </c>
      <c r="S358" s="1" t="s">
        <v>104</v>
      </c>
    </row>
    <row r="359" customFormat="false" ht="15" hidden="false" customHeight="true" outlineLevel="0" collapsed="false">
      <c r="A359" s="43" t="n">
        <v>45573</v>
      </c>
      <c r="B359" s="1" t="n">
        <v>2024</v>
      </c>
      <c r="C359" s="1" t="s">
        <v>75</v>
      </c>
      <c r="D359" s="1" t="s">
        <v>136</v>
      </c>
      <c r="E359" s="1" t="s">
        <v>98</v>
      </c>
      <c r="F359" s="1" t="s">
        <v>140</v>
      </c>
      <c r="G359" s="1" t="s">
        <v>215</v>
      </c>
      <c r="H359" s="1" t="s">
        <v>43</v>
      </c>
      <c r="I359" s="1" t="s">
        <v>101</v>
      </c>
      <c r="J359" s="1" t="s">
        <v>148</v>
      </c>
      <c r="K359" s="1" t="s">
        <v>133</v>
      </c>
      <c r="L359" s="1" t="n">
        <v>4</v>
      </c>
      <c r="M359" s="37" t="n">
        <v>51116</v>
      </c>
      <c r="N359" s="44" t="n">
        <v>0.12</v>
      </c>
      <c r="O359" s="1" t="n">
        <v>31903.04</v>
      </c>
      <c r="P359" s="37" t="n">
        <v>204464</v>
      </c>
      <c r="Q359" s="37" t="n">
        <v>179928.32</v>
      </c>
      <c r="R359" s="37" t="n">
        <v>52316.16</v>
      </c>
      <c r="S359" s="1" t="s">
        <v>104</v>
      </c>
    </row>
    <row r="360" customFormat="false" ht="15" hidden="false" customHeight="true" outlineLevel="0" collapsed="false">
      <c r="A360" s="43" t="n">
        <v>45607</v>
      </c>
      <c r="B360" s="1" t="n">
        <v>2024</v>
      </c>
      <c r="C360" s="1" t="s">
        <v>76</v>
      </c>
      <c r="D360" s="1" t="s">
        <v>136</v>
      </c>
      <c r="E360" s="1" t="s">
        <v>129</v>
      </c>
      <c r="F360" s="1" t="s">
        <v>138</v>
      </c>
      <c r="G360" s="1" t="s">
        <v>187</v>
      </c>
      <c r="H360" s="1" t="s">
        <v>37</v>
      </c>
      <c r="I360" s="1" t="s">
        <v>155</v>
      </c>
      <c r="J360" s="1" t="s">
        <v>150</v>
      </c>
      <c r="K360" s="1" t="s">
        <v>123</v>
      </c>
      <c r="L360" s="1" t="n">
        <v>4</v>
      </c>
      <c r="M360" s="37" t="n">
        <v>58107</v>
      </c>
      <c r="N360" s="44" t="n">
        <v>0</v>
      </c>
      <c r="O360" s="1" t="n">
        <v>36013.06</v>
      </c>
      <c r="P360" s="37" t="n">
        <v>232428</v>
      </c>
      <c r="Q360" s="37" t="n">
        <v>232428</v>
      </c>
      <c r="R360" s="37" t="n">
        <v>88375.76</v>
      </c>
      <c r="S360" s="1" t="s">
        <v>97</v>
      </c>
    </row>
    <row r="361" customFormat="false" ht="15" hidden="false" customHeight="true" outlineLevel="0" collapsed="false">
      <c r="A361" s="43" t="n">
        <v>45650</v>
      </c>
      <c r="B361" s="1" t="n">
        <v>2024</v>
      </c>
      <c r="C361" s="1" t="s">
        <v>77</v>
      </c>
      <c r="D361" s="1" t="s">
        <v>136</v>
      </c>
      <c r="E361" s="1" t="s">
        <v>137</v>
      </c>
      <c r="F361" s="1" t="s">
        <v>134</v>
      </c>
      <c r="G361" s="1" t="s">
        <v>131</v>
      </c>
      <c r="H361" s="1" t="s">
        <v>36</v>
      </c>
      <c r="I361" s="1" t="s">
        <v>116</v>
      </c>
      <c r="J361" s="1" t="s">
        <v>117</v>
      </c>
      <c r="K361" s="1" t="s">
        <v>133</v>
      </c>
      <c r="L361" s="1" t="n">
        <v>15</v>
      </c>
      <c r="M361" s="37" t="n">
        <v>120159</v>
      </c>
      <c r="N361" s="44" t="n">
        <v>0.08</v>
      </c>
      <c r="O361" s="1" t="n">
        <v>91558.49</v>
      </c>
      <c r="P361" s="37" t="n">
        <v>1802385</v>
      </c>
      <c r="Q361" s="37" t="n">
        <v>1658194.2</v>
      </c>
      <c r="R361" s="37" t="n">
        <v>284816.85</v>
      </c>
      <c r="S361" s="1" t="s">
        <v>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221</v>
      </c>
      <c r="R1" s="1" t="s">
        <v>222</v>
      </c>
    </row>
    <row r="2" customFormat="false" ht="15" hidden="false" customHeight="true" outlineLevel="0" collapsed="false">
      <c r="B2" s="1" t="str">
        <f aca="false">'Dashboard Final'!$C$12</f>
        <v>(Todos)</v>
      </c>
      <c r="C2" s="1" t="str">
        <f aca="false">'Dashboard Final'!$F$12</f>
        <v>(Todos)</v>
      </c>
      <c r="D2" s="1" t="str">
        <f aca="false">'Dashboard Final'!$I$12</f>
        <v>(Todos)</v>
      </c>
      <c r="E2" s="1" t="str">
        <f aca="false">'Dashboard Final'!$L$12</f>
        <v>(Todos)</v>
      </c>
      <c r="H2" s="1" t="str">
        <f aca="false">IF(LEFT(UPPER(Datos_Crudos!I2),3)="TEC","Tecnología",IF(UPPER(Datos_Crudos!I2)="HOGAR","Hogar","Oficina"))</f>
        <v>Oficina</v>
      </c>
      <c r="R2" s="1" t="s">
        <v>10</v>
      </c>
      <c r="S2" s="1" t="s">
        <v>10</v>
      </c>
      <c r="T2" s="1" t="s">
        <v>10</v>
      </c>
      <c r="U2" s="1" t="s">
        <v>10</v>
      </c>
    </row>
    <row r="3" customFormat="false" ht="15" hidden="false" customHeight="true" outlineLevel="0" collapsed="false">
      <c r="B3" s="1" t="str">
        <f aca="false">IF(B2="(Todos)","*",B2)</f>
        <v>*</v>
      </c>
      <c r="C3" s="1" t="str">
        <f aca="false">IF(C2="(Todos)","*",C2)</f>
        <v>*</v>
      </c>
      <c r="D3" s="1" t="str">
        <f aca="false">IF(D2="(Todos)","*",D2)</f>
        <v>*</v>
      </c>
      <c r="E3" s="1" t="str">
        <f aca="false">IF(E2="(Todos)","*",E2)</f>
        <v>*</v>
      </c>
      <c r="H3" s="1" t="str">
        <f aca="false">IF(LEFT(UPPER(Datos_Crudos!I3),3)="TEC","Tecnología",IF(UPPER(Datos_Crudos!I3)="HOGAR","Hogar","Oficina"))</f>
        <v>Tecnología</v>
      </c>
      <c r="R3" s="1" t="s">
        <v>50</v>
      </c>
      <c r="S3" s="1" t="s">
        <v>98</v>
      </c>
      <c r="T3" s="1" t="s">
        <v>33</v>
      </c>
      <c r="U3" s="1" t="s">
        <v>97</v>
      </c>
    </row>
    <row r="4" customFormat="false" ht="15" hidden="false" customHeight="true" outlineLevel="0" collapsed="false">
      <c r="H4" s="1" t="str">
        <f aca="false">IF(LEFT(UPPER(Datos_Crudos!I4),3)="TEC","Tecnología",IF(UPPER(Datos_Crudos!I4)="HOGAR","Hogar","Oficina"))</f>
        <v>Hogar</v>
      </c>
      <c r="R4" s="1" t="s">
        <v>53</v>
      </c>
      <c r="S4" s="1" t="s">
        <v>113</v>
      </c>
      <c r="T4" s="1" t="s">
        <v>41</v>
      </c>
      <c r="U4" s="1" t="s">
        <v>104</v>
      </c>
    </row>
    <row r="5" customFormat="false" ht="15" hidden="false" customHeight="true" outlineLevel="0" collapsed="false">
      <c r="H5" s="1" t="str">
        <f aca="false">IF(LEFT(UPPER(Datos_Crudos!I5),3)="TEC","Tecnología",IF(UPPER(Datos_Crudos!I5)="HOGAR","Hogar","Oficina"))</f>
        <v>Tecnología</v>
      </c>
      <c r="R5" s="1" t="s">
        <v>56</v>
      </c>
      <c r="S5" s="1" t="s">
        <v>137</v>
      </c>
      <c r="T5" s="1" t="s">
        <v>38</v>
      </c>
      <c r="U5" s="1" t="s">
        <v>125</v>
      </c>
    </row>
    <row r="6" customFormat="false" ht="15" hidden="false" customHeight="true" outlineLevel="0" collapsed="false">
      <c r="H6" s="1" t="str">
        <f aca="false">IF(LEFT(UPPER(Datos_Crudos!I6),3)="TEC","Tecnología",IF(UPPER(Datos_Crudos!I6)="HOGAR","Hogar","Oficina"))</f>
        <v>Tecnología</v>
      </c>
      <c r="R6" s="1" t="s">
        <v>59</v>
      </c>
      <c r="S6" s="1" t="s">
        <v>129</v>
      </c>
      <c r="U6" s="1" t="s">
        <v>119</v>
      </c>
    </row>
    <row r="7" customFormat="false" ht="15" hidden="false" customHeight="true" outlineLevel="0" collapsed="false">
      <c r="H7" s="1" t="str">
        <f aca="false">IF(LEFT(UPPER(Datos_Crudos!I7),3)="TEC","Tecnología",IF(UPPER(Datos_Crudos!I7)="HOGAR","Hogar","Oficina"))</f>
        <v>Tecnología</v>
      </c>
      <c r="R7" s="1" t="s">
        <v>62</v>
      </c>
      <c r="S7" s="1" t="s">
        <v>91</v>
      </c>
    </row>
    <row r="8" customFormat="false" ht="15" hidden="false" customHeight="true" outlineLevel="0" collapsed="false">
      <c r="H8" s="1" t="str">
        <f aca="false">IF(LEFT(UPPER(Datos_Crudos!I8),3)="TEC","Tecnología",IF(UPPER(Datos_Crudos!I8)="HOGAR","Hogar","Oficina"))</f>
        <v>Tecnología</v>
      </c>
      <c r="R8" s="1" t="s">
        <v>65</v>
      </c>
      <c r="S8" s="1" t="s">
        <v>105</v>
      </c>
    </row>
    <row r="9" customFormat="false" ht="15" hidden="false" customHeight="true" outlineLevel="0" collapsed="false">
      <c r="H9" s="1" t="str">
        <f aca="false">IF(LEFT(UPPER(Datos_Crudos!I9),3)="TEC","Tecnología",IF(UPPER(Datos_Crudos!I9)="HOGAR","Hogar","Oficina"))</f>
        <v>Tecnología</v>
      </c>
      <c r="R9" s="1" t="s">
        <v>66</v>
      </c>
      <c r="S9" s="1" t="s">
        <v>120</v>
      </c>
    </row>
    <row r="10" customFormat="false" ht="15" hidden="false" customHeight="true" outlineLevel="0" collapsed="false">
      <c r="A10" s="1" t="s">
        <v>50</v>
      </c>
      <c r="B10" s="1" t="n">
        <f aca="false">SUMIFS(Datos_Crudos!$Q$2:$Q$361,Datos_Crudos!$C$2:$C$361,$A10,Datos_Crudos!$E$2:$E$361,$C$3,$H$2:$H$361,$D$3,Datos_Crudos!$S$2:$S$361,$E$3)</f>
        <v>74587317.64</v>
      </c>
      <c r="C10" s="1" t="n">
        <f aca="false">SUMIFS(Datos_Crudos!$R$2:$R$361,Datos_Crudos!$C$2:$C$361,$A10,Datos_Crudos!$E$2:$E$361,$C$3,$H$2:$H$361,$D$3,Datos_Crudos!$S$2:$S$361,$E$3)</f>
        <v>25491254.12</v>
      </c>
      <c r="D10" s="1" t="n">
        <f aca="false">SUMIFS(Datos_Crudos!$L$2:$L$361,Datos_Crudos!$C$2:$C$361,$A10,Datos_Crudos!$E$2:$E$361,$C$3,$H$2:$H$361,$D$3,Datos_Crudos!$S$2:$S$361,$E$3)</f>
        <v>735</v>
      </c>
      <c r="F10" s="1" t="s">
        <v>33</v>
      </c>
      <c r="G10" s="1" t="n">
        <f aca="false">SUMIFS(Datos_Crudos!$Q$2:$Q$361,$H$2:$H$361,$F10,Datos_Crudos!$C$2:$C$361,$B$3,Datos_Crudos!$E$2:$E$361,$C$3,Datos_Crudos!$S$2:$S$361,$E$3)</f>
        <v>586056101.68</v>
      </c>
      <c r="H10" s="1" t="str">
        <f aca="false">IF(LEFT(UPPER(Datos_Crudos!I10),3)="TEC","Tecnología",IF(UPPER(Datos_Crudos!I10)="HOGAR","Hogar","Oficina"))</f>
        <v>Hogar</v>
      </c>
      <c r="J10" s="1" t="s">
        <v>113</v>
      </c>
      <c r="K10" s="1" t="n">
        <f aca="false">SUMIFS(Datos_Crudos!$Q$2:$Q$361,Datos_Crudos!$E$2:$E$361,$J10,Datos_Crudos!$C$2:$C$361,$B$3,$H$2:$H$361,$D$3,Datos_Crudos!$S$2:$S$361,$E$3)</f>
        <v>200142004.9</v>
      </c>
      <c r="M10" s="1" t="s">
        <v>44</v>
      </c>
      <c r="N10" s="1" t="n">
        <f aca="false">SUMIFS(Datos_Crudos!$Q$2:$Q$361,Datos_Crudos!$H$2:$H$361,$M10,Datos_Crudos!$C$2:$C$361,$B$3,Datos_Crudos!$E$2:$E$361,$C$3,$H$2:$H$361,$D$3,Datos_Crudos!$S$2:$S$361,$E$3)</f>
        <v>174183957.92</v>
      </c>
      <c r="O10" s="1" t="n">
        <f aca="false">SUMIFS(Datos_Crudos!$R$2:$R$361,Datos_Crudos!$H$2:$H$361,$M10,Datos_Crudos!$C$2:$C$361,$B$3,Datos_Crudos!$E$2:$E$361,$C$3,$H$2:$H$361,$D$3,Datos_Crudos!$S$2:$S$361,$E$3)</f>
        <v>64604358.71</v>
      </c>
      <c r="P10" s="1" t="n">
        <f aca="false">IFERROR($O10/$N10,0)</f>
        <v>0.370897294340227</v>
      </c>
      <c r="R10" s="1" t="s">
        <v>69</v>
      </c>
    </row>
    <row r="11" customFormat="false" ht="15" hidden="false" customHeight="true" outlineLevel="0" collapsed="false">
      <c r="A11" s="1" t="s">
        <v>53</v>
      </c>
      <c r="B11" s="1" t="n">
        <f aca="false">SUMIFS(Datos_Crudos!$Q$2:$Q$361,Datos_Crudos!$C$2:$C$361,$A11,Datos_Crudos!$E$2:$E$361,$C$3,$H$2:$H$361,$D$3,Datos_Crudos!$S$2:$S$361,$E$3)</f>
        <v>59788145.6</v>
      </c>
      <c r="C11" s="1" t="n">
        <f aca="false">SUMIFS(Datos_Crudos!$R$2:$R$361,Datos_Crudos!$C$2:$C$361,$A11,Datos_Crudos!$E$2:$E$361,$C$3,$H$2:$H$361,$D$3,Datos_Crudos!$S$2:$S$361,$E$3)</f>
        <v>16555684.98</v>
      </c>
      <c r="D11" s="1" t="n">
        <f aca="false">SUMIFS(Datos_Crudos!$L$2:$L$361,Datos_Crudos!$C$2:$C$361,$A11,Datos_Crudos!$E$2:$E$361,$C$3,$H$2:$H$361,$D$3,Datos_Crudos!$S$2:$S$361,$E$3)</f>
        <v>961</v>
      </c>
      <c r="F11" s="1" t="s">
        <v>41</v>
      </c>
      <c r="G11" s="1" t="n">
        <f aca="false">SUMIFS(Datos_Crudos!$Q$2:$Q$361,$H$2:$H$361,$F11,Datos_Crudos!$C$2:$C$361,$B$3,Datos_Crudos!$E$2:$E$361,$C$3,Datos_Crudos!$S$2:$S$361,$E$3)</f>
        <v>194458636.12</v>
      </c>
      <c r="H11" s="1" t="str">
        <f aca="false">IF(LEFT(UPPER(Datos_Crudos!I11),3)="TEC","Tecnología",IF(UPPER(Datos_Crudos!I11)="HOGAR","Hogar","Oficina"))</f>
        <v>Tecnología</v>
      </c>
      <c r="J11" s="1" t="s">
        <v>137</v>
      </c>
      <c r="K11" s="1" t="n">
        <f aca="false">SUMIFS(Datos_Crudos!$Q$2:$Q$361,Datos_Crudos!$E$2:$E$361,$J11,Datos_Crudos!$C$2:$C$361,$B$3,$H$2:$H$361,$D$3,Datos_Crudos!$S$2:$S$361,$E$3)</f>
        <v>168259405.87</v>
      </c>
      <c r="M11" s="1" t="s">
        <v>36</v>
      </c>
      <c r="N11" s="1" t="n">
        <f aca="false">SUMIFS(Datos_Crudos!$Q$2:$Q$361,Datos_Crudos!$H$2:$H$361,$M11,Datos_Crudos!$C$2:$C$361,$B$3,Datos_Crudos!$E$2:$E$361,$C$3,$H$2:$H$361,$D$3,Datos_Crudos!$S$2:$S$361,$E$3)</f>
        <v>136410041.51</v>
      </c>
      <c r="O11" s="1" t="n">
        <f aca="false">SUMIFS(Datos_Crudos!$R$2:$R$361,Datos_Crudos!$H$2:$H$361,$M11,Datos_Crudos!$C$2:$C$361,$B$3,Datos_Crudos!$E$2:$E$361,$C$3,$H$2:$H$361,$D$3,Datos_Crudos!$S$2:$S$361,$E$3)</f>
        <v>48935362.98</v>
      </c>
      <c r="P11" s="1" t="n">
        <f aca="false">IFERROR($O11/$N11,0)</f>
        <v>0.358737248653448</v>
      </c>
      <c r="R11" s="1" t="s">
        <v>72</v>
      </c>
    </row>
    <row r="12" customFormat="false" ht="15" hidden="false" customHeight="true" outlineLevel="0" collapsed="false">
      <c r="A12" s="1" t="s">
        <v>56</v>
      </c>
      <c r="B12" s="1" t="n">
        <f aca="false">SUMIFS(Datos_Crudos!$Q$2:$Q$361,Datos_Crudos!$C$2:$C$361,$A12,Datos_Crudos!$E$2:$E$361,$C$3,$H$2:$H$361,$D$3,Datos_Crudos!$S$2:$S$361,$E$3)</f>
        <v>95487410.27</v>
      </c>
      <c r="C12" s="1" t="n">
        <f aca="false">SUMIFS(Datos_Crudos!$R$2:$R$361,Datos_Crudos!$C$2:$C$361,$A12,Datos_Crudos!$E$2:$E$361,$C$3,$H$2:$H$361,$D$3,Datos_Crudos!$S$2:$S$361,$E$3)</f>
        <v>36813684.43</v>
      </c>
      <c r="D12" s="1" t="n">
        <f aca="false">SUMIFS(Datos_Crudos!$L$2:$L$361,Datos_Crudos!$C$2:$C$361,$A12,Datos_Crudos!$E$2:$E$361,$C$3,$H$2:$H$361,$D$3,Datos_Crudos!$S$2:$S$361,$E$3)</f>
        <v>1122</v>
      </c>
      <c r="F12" s="1" t="s">
        <v>38</v>
      </c>
      <c r="G12" s="1" t="n">
        <f aca="false">SUMIFS(Datos_Crudos!$Q$2:$Q$361,$H$2:$H$361,$F12,Datos_Crudos!$C$2:$C$361,$B$3,Datos_Crudos!$E$2:$E$361,$C$3,Datos_Crudos!$S$2:$S$361,$E$3)</f>
        <v>207082046.07</v>
      </c>
      <c r="H12" s="1" t="str">
        <f aca="false">IF(LEFT(UPPER(Datos_Crudos!I12),3)="TEC","Tecnología",IF(UPPER(Datos_Crudos!I12)="HOGAR","Hogar","Oficina"))</f>
        <v>Tecnología</v>
      </c>
      <c r="J12" s="1" t="s">
        <v>91</v>
      </c>
      <c r="K12" s="1" t="n">
        <f aca="false">SUMIFS(Datos_Crudos!$Q$2:$Q$361,Datos_Crudos!$E$2:$E$361,$J12,Datos_Crudos!$C$2:$C$361,$B$3,$H$2:$H$361,$D$3,Datos_Crudos!$S$2:$S$361,$E$3)</f>
        <v>154986694.39</v>
      </c>
      <c r="M12" s="1" t="s">
        <v>35</v>
      </c>
      <c r="N12" s="1" t="n">
        <f aca="false">SUMIFS(Datos_Crudos!$Q$2:$Q$361,Datos_Crudos!$H$2:$H$361,$M12,Datos_Crudos!$C$2:$C$361,$B$3,Datos_Crudos!$E$2:$E$361,$C$3,$H$2:$H$361,$D$3,Datos_Crudos!$S$2:$S$361,$E$3)</f>
        <v>116500206.09</v>
      </c>
      <c r="O12" s="1" t="n">
        <f aca="false">SUMIFS(Datos_Crudos!$R$2:$R$361,Datos_Crudos!$H$2:$H$361,$M12,Datos_Crudos!$C$2:$C$361,$B$3,Datos_Crudos!$E$2:$E$361,$C$3,$H$2:$H$361,$D$3,Datos_Crudos!$S$2:$S$361,$E$3)</f>
        <v>42776574.38</v>
      </c>
      <c r="P12" s="1" t="n">
        <f aca="false">IFERROR($O12/$N12,0)</f>
        <v>0.367180246419082</v>
      </c>
      <c r="R12" s="1" t="s">
        <v>75</v>
      </c>
    </row>
    <row r="13" customFormat="false" ht="15" hidden="false" customHeight="true" outlineLevel="0" collapsed="false">
      <c r="A13" s="1" t="s">
        <v>59</v>
      </c>
      <c r="B13" s="1" t="n">
        <f aca="false">SUMIFS(Datos_Crudos!$Q$2:$Q$361,Datos_Crudos!$C$2:$C$361,$A13,Datos_Crudos!$E$2:$E$361,$C$3,$H$2:$H$361,$D$3,Datos_Crudos!$S$2:$S$361,$E$3)</f>
        <v>50180273.45</v>
      </c>
      <c r="C13" s="1" t="n">
        <f aca="false">SUMIFS(Datos_Crudos!$R$2:$R$361,Datos_Crudos!$C$2:$C$361,$A13,Datos_Crudos!$E$2:$E$361,$C$3,$H$2:$H$361,$D$3,Datos_Crudos!$S$2:$S$361,$E$3)</f>
        <v>15001025.7</v>
      </c>
      <c r="D13" s="1" t="n">
        <f aca="false">SUMIFS(Datos_Crudos!$L$2:$L$361,Datos_Crudos!$C$2:$C$361,$A13,Datos_Crudos!$E$2:$E$361,$C$3,$H$2:$H$361,$D$3,Datos_Crudos!$S$2:$S$361,$E$3)</f>
        <v>564</v>
      </c>
      <c r="H13" s="1" t="str">
        <f aca="false">IF(LEFT(UPPER(Datos_Crudos!I13),3)="TEC","Tecnología",IF(UPPER(Datos_Crudos!I13)="HOGAR","Hogar","Oficina"))</f>
        <v>Tecnología</v>
      </c>
      <c r="J13" s="1" t="s">
        <v>98</v>
      </c>
      <c r="K13" s="1" t="n">
        <f aca="false">SUMIFS(Datos_Crudos!$Q$2:$Q$361,Datos_Crudos!$E$2:$E$361,$J13,Datos_Crudos!$C$2:$C$361,$B$3,$H$2:$H$361,$D$3,Datos_Crudos!$S$2:$S$361,$E$3)</f>
        <v>141634383.39</v>
      </c>
      <c r="M13" s="1" t="s">
        <v>46</v>
      </c>
      <c r="N13" s="1" t="n">
        <f aca="false">SUMIFS(Datos_Crudos!$Q$2:$Q$361,Datos_Crudos!$H$2:$H$361,$M13,Datos_Crudos!$C$2:$C$361,$B$3,Datos_Crudos!$E$2:$E$361,$C$3,$H$2:$H$361,$D$3,Datos_Crudos!$S$2:$S$361,$E$3)</f>
        <v>84910389.79</v>
      </c>
      <c r="O13" s="1" t="n">
        <f aca="false">SUMIFS(Datos_Crudos!$R$2:$R$361,Datos_Crudos!$H$2:$H$361,$M13,Datos_Crudos!$C$2:$C$361,$B$3,Datos_Crudos!$E$2:$E$361,$C$3,$H$2:$H$361,$D$3,Datos_Crudos!$S$2:$S$361,$E$3)</f>
        <v>35104848.06</v>
      </c>
      <c r="P13" s="1" t="n">
        <f aca="false">IFERROR($O13/$N13,0)</f>
        <v>0.413434070280694</v>
      </c>
      <c r="R13" s="1" t="s">
        <v>76</v>
      </c>
    </row>
    <row r="14" customFormat="false" ht="15" hidden="false" customHeight="true" outlineLevel="0" collapsed="false">
      <c r="A14" s="1" t="s">
        <v>62</v>
      </c>
      <c r="B14" s="1" t="n">
        <f aca="false">SUMIFS(Datos_Crudos!$Q$2:$Q$361,Datos_Crudos!$C$2:$C$361,$A14,Datos_Crudos!$E$2:$E$361,$C$3,$H$2:$H$361,$D$3,Datos_Crudos!$S$2:$S$361,$E$3)</f>
        <v>63280395.8</v>
      </c>
      <c r="C14" s="1" t="n">
        <f aca="false">SUMIFS(Datos_Crudos!$R$2:$R$361,Datos_Crudos!$C$2:$C$361,$A14,Datos_Crudos!$E$2:$E$361,$C$3,$H$2:$H$361,$D$3,Datos_Crudos!$S$2:$S$361,$E$3)</f>
        <v>23107821.64</v>
      </c>
      <c r="D14" s="1" t="n">
        <f aca="false">SUMIFS(Datos_Crudos!$L$2:$L$361,Datos_Crudos!$C$2:$C$361,$A14,Datos_Crudos!$E$2:$E$361,$C$3,$H$2:$H$361,$D$3,Datos_Crudos!$S$2:$S$361,$E$3)</f>
        <v>804</v>
      </c>
      <c r="H14" s="1" t="str">
        <f aca="false">IF(LEFT(UPPER(Datos_Crudos!I14),3)="TEC","Tecnología",IF(UPPER(Datos_Crudos!I14)="HOGAR","Hogar","Oficina"))</f>
        <v>Hogar</v>
      </c>
      <c r="J14" s="1" t="s">
        <v>120</v>
      </c>
      <c r="K14" s="1" t="n">
        <f aca="false">SUMIFS(Datos_Crudos!$Q$2:$Q$361,Datos_Crudos!$E$2:$E$361,$J14,Datos_Crudos!$C$2:$C$361,$B$3,$H$2:$H$361,$D$3,Datos_Crudos!$S$2:$S$361,$E$3)</f>
        <v>130666267.88</v>
      </c>
      <c r="M14" s="1" t="s">
        <v>43</v>
      </c>
      <c r="N14" s="1" t="n">
        <f aca="false">SUMIFS(Datos_Crudos!$Q$2:$Q$361,Datos_Crudos!$H$2:$H$361,$M14,Datos_Crudos!$C$2:$C$361,$B$3,Datos_Crudos!$E$2:$E$361,$C$3,$H$2:$H$361,$D$3,Datos_Crudos!$S$2:$S$361,$E$3)</f>
        <v>79120953.72</v>
      </c>
      <c r="O14" s="1" t="n">
        <f aca="false">SUMIFS(Datos_Crudos!$R$2:$R$361,Datos_Crudos!$H$2:$H$361,$M14,Datos_Crudos!$C$2:$C$361,$B$3,Datos_Crudos!$E$2:$E$361,$C$3,$H$2:$H$361,$D$3,Datos_Crudos!$S$2:$S$361,$E$3)</f>
        <v>23477805.41</v>
      </c>
      <c r="P14" s="1" t="n">
        <f aca="false">IFERROR($O14/$N14,0)</f>
        <v>0.296733094157147</v>
      </c>
      <c r="R14" s="1" t="s">
        <v>77</v>
      </c>
    </row>
    <row r="15" customFormat="false" ht="15" hidden="false" customHeight="true" outlineLevel="0" collapsed="false">
      <c r="A15" s="1" t="s">
        <v>65</v>
      </c>
      <c r="B15" s="1" t="n">
        <f aca="false">SUMIFS(Datos_Crudos!$Q$2:$Q$361,Datos_Crudos!$C$2:$C$361,$A15,Datos_Crudos!$E$2:$E$361,$C$3,$H$2:$H$361,$D$3,Datos_Crudos!$S$2:$S$361,$E$3)</f>
        <v>93736031.26</v>
      </c>
      <c r="C15" s="1" t="n">
        <f aca="false">SUMIFS(Datos_Crudos!$R$2:$R$361,Datos_Crudos!$C$2:$C$361,$A15,Datos_Crudos!$E$2:$E$361,$C$3,$H$2:$H$361,$D$3,Datos_Crudos!$S$2:$S$361,$E$3)</f>
        <v>34250147.21</v>
      </c>
      <c r="D15" s="1" t="n">
        <f aca="false">SUMIFS(Datos_Crudos!$L$2:$L$361,Datos_Crudos!$C$2:$C$361,$A15,Datos_Crudos!$E$2:$E$361,$C$3,$H$2:$H$361,$D$3,Datos_Crudos!$S$2:$S$361,$E$3)</f>
        <v>1112</v>
      </c>
      <c r="H15" s="1" t="str">
        <f aca="false">IF(LEFT(UPPER(Datos_Crudos!I15),3)="TEC","Tecnología",IF(UPPER(Datos_Crudos!I15)="HOGAR","Hogar","Oficina"))</f>
        <v>Tecnología</v>
      </c>
      <c r="J15" s="1" t="s">
        <v>105</v>
      </c>
      <c r="K15" s="1" t="n">
        <f aca="false">SUMIFS(Datos_Crudos!$Q$2:$Q$361,Datos_Crudos!$E$2:$E$361,$J15,Datos_Crudos!$C$2:$C$361,$B$3,$H$2:$H$361,$D$3,Datos_Crudos!$S$2:$S$361,$E$3)</f>
        <v>120204776.53</v>
      </c>
      <c r="M15" s="1" t="s">
        <v>45</v>
      </c>
      <c r="N15" s="1" t="n">
        <f aca="false">SUMIFS(Datos_Crudos!$Q$2:$Q$361,Datos_Crudos!$H$2:$H$361,$M15,Datos_Crudos!$C$2:$C$361,$B$3,Datos_Crudos!$E$2:$E$361,$C$3,$H$2:$H$361,$D$3,Datos_Crudos!$S$2:$S$361,$E$3)</f>
        <v>75854179.51</v>
      </c>
      <c r="O15" s="1" t="n">
        <f aca="false">SUMIFS(Datos_Crudos!$R$2:$R$361,Datos_Crudos!$H$2:$H$361,$M15,Datos_Crudos!$C$2:$C$361,$B$3,Datos_Crudos!$E$2:$E$361,$C$3,$H$2:$H$361,$D$3,Datos_Crudos!$S$2:$S$361,$E$3)</f>
        <v>22122417.23</v>
      </c>
      <c r="P15" s="1" t="n">
        <f aca="false">IFERROR($O15/$N15,0)</f>
        <v>0.291644011877863</v>
      </c>
    </row>
    <row r="16" customFormat="false" ht="15" hidden="false" customHeight="true" outlineLevel="0" collapsed="false">
      <c r="A16" s="1" t="s">
        <v>66</v>
      </c>
      <c r="B16" s="1" t="n">
        <f aca="false">SUMIFS(Datos_Crudos!$Q$2:$Q$361,Datos_Crudos!$C$2:$C$361,$A16,Datos_Crudos!$E$2:$E$361,$C$3,$H$2:$H$361,$D$3,Datos_Crudos!$S$2:$S$361,$E$3)</f>
        <v>125018944.84</v>
      </c>
      <c r="C16" s="1" t="n">
        <f aca="false">SUMIFS(Datos_Crudos!$R$2:$R$361,Datos_Crudos!$C$2:$C$361,$A16,Datos_Crudos!$E$2:$E$361,$C$3,$H$2:$H$361,$D$3,Datos_Crudos!$S$2:$S$361,$E$3)</f>
        <v>45527916.8</v>
      </c>
      <c r="D16" s="1" t="n">
        <f aca="false">SUMIFS(Datos_Crudos!$L$2:$L$361,Datos_Crudos!$C$2:$C$361,$A16,Datos_Crudos!$E$2:$E$361,$C$3,$H$2:$H$361,$D$3,Datos_Crudos!$S$2:$S$361,$E$3)</f>
        <v>1376</v>
      </c>
      <c r="H16" s="1" t="str">
        <f aca="false">IF(LEFT(UPPER(Datos_Crudos!I16),3)="TEC","Tecnología",IF(UPPER(Datos_Crudos!I16)="HOGAR","Hogar","Oficina"))</f>
        <v>Oficina</v>
      </c>
      <c r="J16" s="1" t="s">
        <v>129</v>
      </c>
      <c r="K16" s="1" t="n">
        <f aca="false">SUMIFS(Datos_Crudos!$Q$2:$Q$361,Datos_Crudos!$E$2:$E$361,$J16,Datos_Crudos!$C$2:$C$361,$B$3,$H$2:$H$361,$D$3,Datos_Crudos!$S$2:$S$361,$E$3)</f>
        <v>71703250.91</v>
      </c>
      <c r="M16" s="1" t="s">
        <v>39</v>
      </c>
      <c r="N16" s="1" t="n">
        <f aca="false">SUMIFS(Datos_Crudos!$Q$2:$Q$361,Datos_Crudos!$H$2:$H$361,$M16,Datos_Crudos!$C$2:$C$361,$B$3,Datos_Crudos!$E$2:$E$361,$C$3,$H$2:$H$361,$D$3,Datos_Crudos!$S$2:$S$361,$E$3)</f>
        <v>74942474</v>
      </c>
      <c r="O16" s="1" t="n">
        <f aca="false">SUMIFS(Datos_Crudos!$R$2:$R$361,Datos_Crudos!$H$2:$H$361,$M16,Datos_Crudos!$C$2:$C$361,$B$3,Datos_Crudos!$E$2:$E$361,$C$3,$H$2:$H$361,$D$3,Datos_Crudos!$S$2:$S$361,$E$3)</f>
        <v>26309455.72</v>
      </c>
      <c r="P16" s="1" t="n">
        <f aca="false">IFERROR($O16/$N16,0)</f>
        <v>0.3510620121775</v>
      </c>
    </row>
    <row r="17" customFormat="false" ht="15" hidden="false" customHeight="true" outlineLevel="0" collapsed="false">
      <c r="A17" s="1" t="s">
        <v>69</v>
      </c>
      <c r="B17" s="1" t="n">
        <f aca="false">SUMIFS(Datos_Crudos!$Q$2:$Q$361,Datos_Crudos!$C$2:$C$361,$A17,Datos_Crudos!$E$2:$E$361,$C$3,$H$2:$H$361,$D$3,Datos_Crudos!$S$2:$S$361,$E$3)</f>
        <v>62673740.61</v>
      </c>
      <c r="C17" s="1" t="n">
        <f aca="false">SUMIFS(Datos_Crudos!$R$2:$R$361,Datos_Crudos!$C$2:$C$361,$A17,Datos_Crudos!$E$2:$E$361,$C$3,$H$2:$H$361,$D$3,Datos_Crudos!$S$2:$S$361,$E$3)</f>
        <v>19261077.99</v>
      </c>
      <c r="D17" s="1" t="n">
        <f aca="false">SUMIFS(Datos_Crudos!$L$2:$L$361,Datos_Crudos!$C$2:$C$361,$A17,Datos_Crudos!$E$2:$E$361,$C$3,$H$2:$H$361,$D$3,Datos_Crudos!$S$2:$S$361,$E$3)</f>
        <v>668</v>
      </c>
      <c r="H17" s="1" t="str">
        <f aca="false">IF(LEFT(UPPER(Datos_Crudos!I17),3)="TEC","Tecnología",IF(UPPER(Datos_Crudos!I17)="HOGAR","Hogar","Oficina"))</f>
        <v>Tecnología</v>
      </c>
      <c r="M17" s="1" t="s">
        <v>34</v>
      </c>
      <c r="N17" s="1" t="n">
        <f aca="false">SUMIFS(Datos_Crudos!$Q$2:$Q$361,Datos_Crudos!$H$2:$H$361,$M17,Datos_Crudos!$C$2:$C$361,$B$3,Datos_Crudos!$E$2:$E$361,$C$3,$H$2:$H$361,$D$3,Datos_Crudos!$S$2:$S$361,$E$3)</f>
        <v>70563335.74</v>
      </c>
      <c r="O17" s="1" t="n">
        <f aca="false">SUMIFS(Datos_Crudos!$R$2:$R$361,Datos_Crudos!$H$2:$H$361,$M17,Datos_Crudos!$C$2:$C$361,$B$3,Datos_Crudos!$E$2:$E$361,$C$3,$H$2:$H$361,$D$3,Datos_Crudos!$S$2:$S$361,$E$3)</f>
        <v>22301134.65</v>
      </c>
      <c r="P17" s="1" t="n">
        <f aca="false">IFERROR($O17/$N17,0)</f>
        <v>0.316044223478486</v>
      </c>
    </row>
    <row r="18" customFormat="false" ht="15" hidden="false" customHeight="true" outlineLevel="0" collapsed="false">
      <c r="A18" s="1" t="s">
        <v>72</v>
      </c>
      <c r="B18" s="1" t="n">
        <f aca="false">SUMIFS(Datos_Crudos!$Q$2:$Q$361,Datos_Crudos!$C$2:$C$361,$A18,Datos_Crudos!$E$2:$E$361,$C$3,$H$2:$H$361,$D$3,Datos_Crudos!$S$2:$S$361,$E$3)</f>
        <v>59677426.87</v>
      </c>
      <c r="C18" s="1" t="n">
        <f aca="false">SUMIFS(Datos_Crudos!$R$2:$R$361,Datos_Crudos!$C$2:$C$361,$A18,Datos_Crudos!$E$2:$E$361,$C$3,$H$2:$H$361,$D$3,Datos_Crudos!$S$2:$S$361,$E$3)</f>
        <v>16746028.62</v>
      </c>
      <c r="D18" s="1" t="n">
        <f aca="false">SUMIFS(Datos_Crudos!$L$2:$L$361,Datos_Crudos!$C$2:$C$361,$A18,Datos_Crudos!$E$2:$E$361,$C$3,$H$2:$H$361,$D$3,Datos_Crudos!$S$2:$S$361,$E$3)</f>
        <v>675</v>
      </c>
      <c r="H18" s="1" t="str">
        <f aca="false">IF(LEFT(UPPER(Datos_Crudos!I18),3)="TEC","Tecnología",IF(UPPER(Datos_Crudos!I18)="HOGAR","Hogar","Oficina"))</f>
        <v>Tecnología</v>
      </c>
      <c r="M18" s="1" t="s">
        <v>37</v>
      </c>
      <c r="N18" s="1" t="n">
        <f aca="false">SUMIFS(Datos_Crudos!$Q$2:$Q$361,Datos_Crudos!$H$2:$H$361,$M18,Datos_Crudos!$C$2:$C$361,$B$3,Datos_Crudos!$E$2:$E$361,$C$3,$H$2:$H$361,$D$3,Datos_Crudos!$S$2:$S$361,$E$3)</f>
        <v>56285392.56</v>
      </c>
      <c r="O18" s="1" t="n">
        <f aca="false">SUMIFS(Datos_Crudos!$R$2:$R$361,Datos_Crudos!$H$2:$H$361,$M18,Datos_Crudos!$C$2:$C$361,$B$3,Datos_Crudos!$E$2:$E$361,$C$3,$H$2:$H$361,$D$3,Datos_Crudos!$S$2:$S$361,$E$3)</f>
        <v>17910219.49</v>
      </c>
      <c r="P18" s="1" t="n">
        <f aca="false">IFERROR($O18/$N18,0)</f>
        <v>0.318203687944573</v>
      </c>
    </row>
    <row r="19" customFormat="false" ht="15" hidden="false" customHeight="true" outlineLevel="0" collapsed="false">
      <c r="A19" s="1" t="s">
        <v>75</v>
      </c>
      <c r="B19" s="1" t="n">
        <f aca="false">SUMIFS(Datos_Crudos!$Q$2:$Q$361,Datos_Crudos!$C$2:$C$361,$A19,Datos_Crudos!$E$2:$E$361,$C$3,$H$2:$H$361,$D$3,Datos_Crudos!$S$2:$S$361,$E$3)</f>
        <v>86928101.59</v>
      </c>
      <c r="C19" s="1" t="n">
        <f aca="false">SUMIFS(Datos_Crudos!$R$2:$R$361,Datos_Crudos!$C$2:$C$361,$A19,Datos_Crudos!$E$2:$E$361,$C$3,$H$2:$H$361,$D$3,Datos_Crudos!$S$2:$S$361,$E$3)</f>
        <v>26810874.21</v>
      </c>
      <c r="D19" s="1" t="n">
        <f aca="false">SUMIFS(Datos_Crudos!$L$2:$L$361,Datos_Crudos!$C$2:$C$361,$A19,Datos_Crudos!$E$2:$E$361,$C$3,$H$2:$H$361,$D$3,Datos_Crudos!$S$2:$S$361,$E$3)</f>
        <v>763</v>
      </c>
      <c r="H19" s="1" t="str">
        <f aca="false">IF(LEFT(UPPER(Datos_Crudos!I19),3)="TEC","Tecnología",IF(UPPER(Datos_Crudos!I19)="HOGAR","Hogar","Oficina"))</f>
        <v>Oficina</v>
      </c>
      <c r="M19" s="1" t="s">
        <v>42</v>
      </c>
      <c r="N19" s="1" t="n">
        <f aca="false">SUMIFS(Datos_Crudos!$Q$2:$Q$361,Datos_Crudos!$H$2:$H$361,$M19,Datos_Crudos!$C$2:$C$361,$B$3,Datos_Crudos!$E$2:$E$361,$C$3,$H$2:$H$361,$D$3,Datos_Crudos!$S$2:$S$361,$E$3)</f>
        <v>53910056.21</v>
      </c>
      <c r="O19" s="1" t="n">
        <f aca="false">SUMIFS(Datos_Crudos!$R$2:$R$361,Datos_Crudos!$H$2:$H$361,$M19,Datos_Crudos!$C$2:$C$361,$B$3,Datos_Crudos!$E$2:$E$361,$C$3,$H$2:$H$361,$D$3,Datos_Crudos!$S$2:$S$361,$E$3)</f>
        <v>20843075.65</v>
      </c>
      <c r="P19" s="1" t="n">
        <f aca="false">IFERROR($O19/$N19,0)</f>
        <v>0.386626858054244</v>
      </c>
    </row>
    <row r="20" customFormat="false" ht="15" hidden="false" customHeight="true" outlineLevel="0" collapsed="false">
      <c r="A20" s="1" t="s">
        <v>76</v>
      </c>
      <c r="B20" s="1" t="n">
        <f aca="false">SUMIFS(Datos_Crudos!$Q$2:$Q$361,Datos_Crudos!$C$2:$C$361,$A20,Datos_Crudos!$E$2:$E$361,$C$3,$H$2:$H$361,$D$3,Datos_Crudos!$S$2:$S$361,$E$3)</f>
        <v>100789415.47</v>
      </c>
      <c r="C20" s="1" t="n">
        <f aca="false">SUMIFS(Datos_Crudos!$R$2:$R$361,Datos_Crudos!$C$2:$C$361,$A20,Datos_Crudos!$E$2:$E$361,$C$3,$H$2:$H$361,$D$3,Datos_Crudos!$S$2:$S$361,$E$3)</f>
        <v>36077854.6</v>
      </c>
      <c r="D20" s="1" t="n">
        <f aca="false">SUMIFS(Datos_Crudos!$L$2:$L$361,Datos_Crudos!$C$2:$C$361,$A20,Datos_Crudos!$E$2:$E$361,$C$3,$H$2:$H$361,$D$3,Datos_Crudos!$S$2:$S$361,$E$3)</f>
        <v>1297</v>
      </c>
      <c r="H20" s="1" t="str">
        <f aca="false">IF(LEFT(UPPER(Datos_Crudos!I20),3)="TEC","Tecnología",IF(UPPER(Datos_Crudos!I20)="HOGAR","Hogar","Oficina"))</f>
        <v>Tecnología</v>
      </c>
      <c r="M20" s="1" t="s">
        <v>32</v>
      </c>
      <c r="N20" s="1" t="n">
        <f aca="false">SUMIFS(Datos_Crudos!$Q$2:$Q$361,Datos_Crudos!$H$2:$H$361,$M20,Datos_Crudos!$C$2:$C$361,$B$3,Datos_Crudos!$E$2:$E$361,$C$3,$H$2:$H$361,$D$3,Datos_Crudos!$S$2:$S$361,$E$3)</f>
        <v>44641118.62</v>
      </c>
      <c r="O20" s="1" t="n">
        <f aca="false">SUMIFS(Datos_Crudos!$R$2:$R$361,Datos_Crudos!$H$2:$H$361,$M20,Datos_Crudos!$C$2:$C$361,$B$3,Datos_Crudos!$E$2:$E$361,$C$3,$H$2:$H$361,$D$3,Datos_Crudos!$S$2:$S$361,$E$3)</f>
        <v>13525264.89</v>
      </c>
      <c r="P20" s="1" t="n">
        <f aca="false">IFERROR($O20/$N20,0)</f>
        <v>0.30297773237117</v>
      </c>
    </row>
    <row r="21" customFormat="false" ht="15" hidden="false" customHeight="true" outlineLevel="0" collapsed="false">
      <c r="A21" s="1" t="s">
        <v>77</v>
      </c>
      <c r="B21" s="1" t="n">
        <f aca="false">SUMIFS(Datos_Crudos!$Q$2:$Q$361,Datos_Crudos!$C$2:$C$361,$A21,Datos_Crudos!$E$2:$E$361,$C$3,$H$2:$H$361,$D$3,Datos_Crudos!$S$2:$S$361,$E$3)</f>
        <v>115449580.47</v>
      </c>
      <c r="C21" s="1" t="n">
        <f aca="false">SUMIFS(Datos_Crudos!$R$2:$R$361,Datos_Crudos!$C$2:$C$361,$A21,Datos_Crudos!$E$2:$E$361,$C$3,$H$2:$H$361,$D$3,Datos_Crudos!$S$2:$S$361,$E$3)</f>
        <v>48322654.43</v>
      </c>
      <c r="D21" s="1" t="n">
        <f aca="false">SUMIFS(Datos_Crudos!$L$2:$L$361,Datos_Crudos!$C$2:$C$361,$A21,Datos_Crudos!$E$2:$E$361,$C$3,$H$2:$H$361,$D$3,Datos_Crudos!$S$2:$S$361,$E$3)</f>
        <v>1119</v>
      </c>
      <c r="H21" s="1" t="str">
        <f aca="false">IF(LEFT(UPPER(Datos_Crudos!I21),3)="TEC","Tecnología",IF(UPPER(Datos_Crudos!I21)="HOGAR","Hogar","Oficina"))</f>
        <v>Tecnología</v>
      </c>
      <c r="M21" s="1" t="s">
        <v>40</v>
      </c>
      <c r="N21" s="1" t="n">
        <f aca="false">SUMIFS(Datos_Crudos!$Q$2:$Q$361,Datos_Crudos!$H$2:$H$361,$M21,Datos_Crudos!$C$2:$C$361,$B$3,Datos_Crudos!$E$2:$E$361,$C$3,$H$2:$H$361,$D$3,Datos_Crudos!$S$2:$S$361,$E$3)</f>
        <v>20274678.2</v>
      </c>
      <c r="O21" s="1" t="n">
        <f aca="false">SUMIFS(Datos_Crudos!$R$2:$R$361,Datos_Crudos!$H$2:$H$361,$M21,Datos_Crudos!$C$2:$C$361,$B$3,Datos_Crudos!$E$2:$E$361,$C$3,$H$2:$H$361,$D$3,Datos_Crudos!$S$2:$S$361,$E$3)</f>
        <v>6055507.56</v>
      </c>
      <c r="P21" s="1" t="n">
        <f aca="false">IFERROR($O21/$N21,0)</f>
        <v>0.298673424074371</v>
      </c>
    </row>
    <row r="22" customFormat="false" ht="15" hidden="false" customHeight="true" outlineLevel="0" collapsed="false">
      <c r="B22" s="1" t="n">
        <f aca="false">IFERROR(MATCH($B$2,$A$10:$A$21,0),0)</f>
        <v>0</v>
      </c>
      <c r="H22" s="1" t="str">
        <f aca="false">IF(LEFT(UPPER(Datos_Crudos!I22),3)="TEC","Tecnología",IF(UPPER(Datos_Crudos!I22)="HOGAR","Hogar","Oficina"))</f>
        <v>Tecnología</v>
      </c>
    </row>
    <row r="23" customFormat="false" ht="15" hidden="false" customHeight="true" outlineLevel="0" collapsed="false">
      <c r="H23" s="1" t="str">
        <f aca="false">IF(LEFT(UPPER(Datos_Crudos!I23),3)="TEC","Tecnología",IF(UPPER(Datos_Crudos!I23)="HOGAR","Hogar","Oficina"))</f>
        <v>Tecnología</v>
      </c>
    </row>
    <row r="24" customFormat="false" ht="15" hidden="false" customHeight="true" outlineLevel="0" collapsed="false">
      <c r="B24" s="1" t="n">
        <f aca="false">IF($B$22=0,SUM($B$10:$B$21),INDEX($B$10:$B$21,$B$22))</f>
        <v>987596783.87</v>
      </c>
      <c r="C24" s="1" t="n">
        <f aca="false">IF($B$22=0,SUM($C$10:$C$21),INDEX($C$10:$C$21,$B$22))</f>
        <v>343966024.73</v>
      </c>
      <c r="D24" s="1" t="n">
        <f aca="false">IF($B$22=0,SUM($D$10:$D$21),INDEX($D$10:$D$21,$B$22))</f>
        <v>11196</v>
      </c>
      <c r="E24" s="1" t="n">
        <f aca="false">IFERROR($C$24/$B$24,0)</f>
        <v>0.348285889897427</v>
      </c>
      <c r="F24" s="1" t="n">
        <f aca="false">IFERROR($B$24/$D$24,0)</f>
        <v>88209.7877697392</v>
      </c>
      <c r="H24" s="1" t="str">
        <f aca="false">IF(LEFT(UPPER(Datos_Crudos!I24),3)="TEC","Tecnología",IF(UPPER(Datos_Crudos!I24)="HOGAR","Hogar","Oficina"))</f>
        <v>Tecnología</v>
      </c>
    </row>
    <row r="25" customFormat="false" ht="15" hidden="false" customHeight="true" outlineLevel="0" collapsed="false">
      <c r="B25" s="1" t="n">
        <f aca="false">IF($B$22=0,SUM($B$16:$B$21),B24)</f>
        <v>550537209.85</v>
      </c>
      <c r="C25" s="1" t="n">
        <f aca="false">IF($B$22=0,SUM($C$16:$C$21),C24)</f>
        <v>192746406.65</v>
      </c>
      <c r="D25" s="1" t="n">
        <f aca="false">IF($B$22=0,SUM($D$16:$D$21),D24)</f>
        <v>5898</v>
      </c>
      <c r="E25" s="1" t="n">
        <f aca="false">IFERROR($C$25/$B$25,0)</f>
        <v>0.350106047695697</v>
      </c>
      <c r="F25" s="1" t="n">
        <f aca="false">IFERROR($B$25/$D$25,0)</f>
        <v>93343.0332061716</v>
      </c>
      <c r="H25" s="1" t="str">
        <f aca="false">IF(LEFT(UPPER(Datos_Crudos!I25),3)="TEC","Tecnología",IF(UPPER(Datos_Crudos!I25)="HOGAR","Hogar","Oficina"))</f>
        <v>Oficina</v>
      </c>
    </row>
    <row r="26" customFormat="false" ht="15" hidden="false" customHeight="true" outlineLevel="0" collapsed="false">
      <c r="B26" s="1" t="n">
        <f aca="false">IF($B$22=0,SUM($B$10:$B$15),IF($B$22=1,AVERAGE($B$10:$B$21),INDEX($B$10:$B$21,$B$22-1)))</f>
        <v>437059574.02</v>
      </c>
      <c r="C26" s="1" t="n">
        <f aca="false">IF($B$22=0,SUM($C$10:$C$15),IF($B$22=1,AVERAGE($C$10:$C$21),INDEX($C$10:$C$21,$B$22-1)))</f>
        <v>151219618.08</v>
      </c>
      <c r="D26" s="1" t="n">
        <f aca="false">IF($B$22=0,SUM($D$10:$D$15),IF($B$22=1,AVERAGE($D$10:$D$21),INDEX($D$10:$D$21,$B$22-1)))</f>
        <v>5298</v>
      </c>
      <c r="E26" s="1" t="n">
        <f aca="false">IFERROR($C$26/$B$26,0)</f>
        <v>0.345993148460535</v>
      </c>
      <c r="F26" s="1" t="n">
        <f aca="false">IFERROR($B$26/$D$26,0)</f>
        <v>82495.2008342771</v>
      </c>
      <c r="H26" s="1" t="str">
        <f aca="false">IF(LEFT(UPPER(Datos_Crudos!I26),3)="TEC","Tecnología",IF(UPPER(Datos_Crudos!I26)="HOGAR","Hogar","Oficina"))</f>
        <v>Tecnología</v>
      </c>
    </row>
    <row r="27" customFormat="false" ht="15" hidden="false" customHeight="true" outlineLevel="0" collapsed="false">
      <c r="B27" s="1" t="n">
        <f aca="false">IFERROR($B$25/$B$26-1,0)</f>
        <v>0.259638828606938</v>
      </c>
      <c r="D27" s="1" t="n">
        <f aca="false">IFERROR($D$25/$D$26-1,0)</f>
        <v>0.113250283125708</v>
      </c>
      <c r="E27" s="1" t="n">
        <f aca="false">$E$25-$E$26</f>
        <v>0.004112899235162</v>
      </c>
      <c r="F27" s="1" t="n">
        <f aca="false">IFERROR($F$25/$F$26-1,0)</f>
        <v>0.131496526612336</v>
      </c>
      <c r="H27" s="1" t="str">
        <f aca="false">IF(LEFT(UPPER(Datos_Crudos!I27),3)="TEC","Tecnología",IF(UPPER(Datos_Crudos!I27)="HOGAR","Hogar","Oficina"))</f>
        <v>Hogar</v>
      </c>
    </row>
    <row r="28" customFormat="false" ht="15" hidden="false" customHeight="true" outlineLevel="0" collapsed="false">
      <c r="H28" s="1" t="str">
        <f aca="false">IF(LEFT(UPPER(Datos_Crudos!I28),3)="TEC","Tecnología",IF(UPPER(Datos_Crudos!I28)="HOGAR","Hogar","Oficina"))</f>
        <v>Tecnología</v>
      </c>
    </row>
    <row r="29" customFormat="false" ht="15" hidden="false" customHeight="true" outlineLevel="0" collapsed="false">
      <c r="B29" s="1" t="str">
        <f aca="false">IF($B$22=0,"2º semestre vs 1º semestre",IF($B$22=1,"enero vs promedio mensual","vs mes anterior"))</f>
        <v>2º semestre vs 1º semestre</v>
      </c>
      <c r="H29" s="1" t="str">
        <f aca="false">IF(LEFT(UPPER(Datos_Crudos!I29),3)="TEC","Tecnología",IF(UPPER(Datos_Crudos!I29)="HOGAR","Hogar","Oficina"))</f>
        <v>Hogar</v>
      </c>
    </row>
    <row r="30" customFormat="false" ht="15" hidden="false" customHeight="true" outlineLevel="0" collapsed="false">
      <c r="H30" s="1" t="str">
        <f aca="false">IF(LEFT(UPPER(Datos_Crudos!I30),3)="TEC","Tecnología",IF(UPPER(Datos_Crudos!I30)="HOGAR","Hogar","Oficina"))</f>
        <v>Tecnología</v>
      </c>
    </row>
    <row r="31" customFormat="false" ht="15" hidden="false" customHeight="true" outlineLevel="0" collapsed="false">
      <c r="B31" s="1" t="str">
        <f aca="false">"Año 2024 · Mes: "&amp;$B$2&amp;" · Región: "&amp;$C$2&amp;" · Categoría: "&amp;$D$2&amp;" · Estado: "&amp;$E$2</f>
        <v>Año 2024 · Mes: (Todos) · Región: (Todos) · Categoría: (Todos) · Estado: (Todos)</v>
      </c>
      <c r="H31" s="1" t="str">
        <f aca="false">IF(LEFT(UPPER(Datos_Crudos!I31),3)="TEC","Tecnología",IF(UPPER(Datos_Crudos!I31)="HOGAR","Hogar","Oficina"))</f>
        <v>Tecnología</v>
      </c>
    </row>
    <row r="32" customFormat="false" ht="15" hidden="false" customHeight="true" outlineLevel="0" collapsed="false">
      <c r="B32" s="1" t="str">
        <f aca="false">IF(SUM($B$10:$B$21)=0,"Sin datos para la selección actual","Las ventas alcanzan su máximo en "&amp;INDEX($A$10:$A$21,MATCH(MAX($B$10:$B$21),$B$10:$B$21,0)))</f>
        <v>Las ventas alcanzan su máximo en Julio</v>
      </c>
      <c r="H32" s="1" t="str">
        <f aca="false">IF(LEFT(UPPER(Datos_Crudos!I32),3)="TEC","Tecnología",IF(UPPER(Datos_Crudos!I32)="HOGAR","Hogar","Oficina"))</f>
        <v>Tecnología</v>
      </c>
    </row>
    <row r="33" customFormat="false" ht="15" hidden="false" customHeight="true" outlineLevel="0" collapsed="false">
      <c r="B33" s="1" t="str">
        <f aca="false">IF(SUM($G$10:$G$12)=0,"Sin datos para la selección actual","La categoría "&amp;INDEX($F$10:$F$12,MATCH(MAX($G$10:$G$12),$G$10:$G$12,0))&amp;" concentra la mayor venta del período")</f>
        <v>La categoría Tecnología concentra la mayor venta del período</v>
      </c>
      <c r="H33" s="1" t="str">
        <f aca="false">IF(LEFT(UPPER(Datos_Crudos!I33),3)="TEC","Tecnología",IF(UPPER(Datos_Crudos!I33)="HOGAR","Hogar","Oficina"))</f>
        <v>Tecnología</v>
      </c>
    </row>
    <row r="34" customFormat="false" ht="15" hidden="false" customHeight="true" outlineLevel="0" collapsed="false">
      <c r="B34" s="1" t="str">
        <f aca="false">IF(SUM($K$10:$K$16)=0,"Sin datos para la selección actual","La región "&amp;INDEX($J$10:$J$16,MATCH(MAX($K$10:$K$16),$K$10:$K$16,0))&amp;" lidera las ventas del período")</f>
        <v>La región Centro lidera las ventas del período</v>
      </c>
      <c r="H34" s="1" t="str">
        <f aca="false">IF(LEFT(UPPER(Datos_Crudos!I34),3)="TEC","Tecnología",IF(UPPER(Datos_Crudos!I34)="HOGAR","Hogar","Oficina"))</f>
        <v>Hogar</v>
      </c>
    </row>
    <row r="35" customFormat="false" ht="15" hidden="false" customHeight="true" outlineLevel="0" collapsed="false">
      <c r="B35" s="1" t="s">
        <v>12</v>
      </c>
      <c r="H35" s="1" t="str">
        <f aca="false">IF(LEFT(UPPER(Datos_Crudos!I35),3)="TEC","Tecnología",IF(UPPER(Datos_Crudos!I35)="HOGAR","Hogar","Oficina"))</f>
        <v>Tecnología</v>
      </c>
    </row>
    <row r="36" customFormat="false" ht="15" hidden="false" customHeight="true" outlineLevel="0" collapsed="false">
      <c r="B36" s="1" t="str">
        <f aca="false">IF(SUM($N$10:$N$21)=0,"Sin datos para la selección actual","Mayor % de margen: "&amp;INDEX($M$10:$M$21,MATCH(MAX($P$10:$P$21),$P$10:$P$21,0))&amp;" · Menor: "&amp;INDEX($M$10:$M$21,MATCH(MIN($P$10:$P$21),$P$10:$P$21,0)))</f>
        <v>Mayor % de margen: Tablet 10 · Menor: Impresora</v>
      </c>
      <c r="H36" s="1" t="str">
        <f aca="false">IF(LEFT(UPPER(Datos_Crudos!I36),3)="TEC","Tecnología",IF(UPPER(Datos_Crudos!I36)="HOGAR","Hogar","Oficina"))</f>
        <v>Tecnología</v>
      </c>
    </row>
    <row r="37" customFormat="false" ht="15" hidden="false" customHeight="true" outlineLevel="0" collapsed="false">
      <c r="B37" s="1" t="str">
        <f aca="false">IF($B$22=0,"Total 2024",$B$2&amp;" 2024")</f>
        <v>Total 2024</v>
      </c>
      <c r="H37" s="1" t="str">
        <f aca="false">IF(LEFT(UPPER(Datos_Crudos!I37),3)="TEC","Tecnología",IF(UPPER(Datos_Crudos!I37)="HOGAR","Hogar","Oficina"))</f>
        <v>Tecnología</v>
      </c>
    </row>
    <row r="38" customFormat="false" ht="15" hidden="false" customHeight="true" outlineLevel="0" collapsed="false">
      <c r="H38" s="1" t="str">
        <f aca="false">IF(LEFT(UPPER(Datos_Crudos!I38),3)="TEC","Tecnología",IF(UPPER(Datos_Crudos!I38)="HOGAR","Hogar","Oficina"))</f>
        <v>Tecnología</v>
      </c>
    </row>
    <row r="39" customFormat="false" ht="15" hidden="false" customHeight="true" outlineLevel="0" collapsed="false">
      <c r="H39" s="1" t="str">
        <f aca="false">IF(LEFT(UPPER(Datos_Crudos!I39),3)="TEC","Tecnología",IF(UPPER(Datos_Crudos!I39)="HOGAR","Hogar","Oficina"))</f>
        <v>Tecnología</v>
      </c>
    </row>
    <row r="40" customFormat="false" ht="15" hidden="false" customHeight="true" outlineLevel="0" collapsed="false">
      <c r="H40" s="1" t="str">
        <f aca="false">IF(LEFT(UPPER(Datos_Crudos!I40),3)="TEC","Tecnología",IF(UPPER(Datos_Crudos!I40)="HOGAR","Hogar","Oficina"))</f>
        <v>Tecnología</v>
      </c>
    </row>
    <row r="41" customFormat="false" ht="15" hidden="false" customHeight="true" outlineLevel="0" collapsed="false">
      <c r="H41" s="1" t="str">
        <f aca="false">IF(LEFT(UPPER(Datos_Crudos!I41),3)="TEC","Tecnología",IF(UPPER(Datos_Crudos!I41)="HOGAR","Hogar","Oficina"))</f>
        <v>Tecnología</v>
      </c>
    </row>
    <row r="42" customFormat="false" ht="15" hidden="false" customHeight="true" outlineLevel="0" collapsed="false">
      <c r="H42" s="1" t="str">
        <f aca="false">IF(LEFT(UPPER(Datos_Crudos!I42),3)="TEC","Tecnología",IF(UPPER(Datos_Crudos!I42)="HOGAR","Hogar","Oficina"))</f>
        <v>Oficina</v>
      </c>
    </row>
    <row r="43" customFormat="false" ht="15" hidden="false" customHeight="true" outlineLevel="0" collapsed="false">
      <c r="H43" s="1" t="str">
        <f aca="false">IF(LEFT(UPPER(Datos_Crudos!I43),3)="TEC","Tecnología",IF(UPPER(Datos_Crudos!I43)="HOGAR","Hogar","Oficina"))</f>
        <v>Oficina</v>
      </c>
    </row>
    <row r="44" customFormat="false" ht="15" hidden="false" customHeight="true" outlineLevel="0" collapsed="false">
      <c r="H44" s="1" t="str">
        <f aca="false">IF(LEFT(UPPER(Datos_Crudos!I44),3)="TEC","Tecnología",IF(UPPER(Datos_Crudos!I44)="HOGAR","Hogar","Oficina"))</f>
        <v>Tecnología</v>
      </c>
    </row>
    <row r="45" customFormat="false" ht="15" hidden="false" customHeight="true" outlineLevel="0" collapsed="false">
      <c r="H45" s="1" t="str">
        <f aca="false">IF(LEFT(UPPER(Datos_Crudos!I45),3)="TEC","Tecnología",IF(UPPER(Datos_Crudos!I45)="HOGAR","Hogar","Oficina"))</f>
        <v>Hogar</v>
      </c>
    </row>
    <row r="46" customFormat="false" ht="15" hidden="false" customHeight="true" outlineLevel="0" collapsed="false">
      <c r="H46" s="1" t="str">
        <f aca="false">IF(LEFT(UPPER(Datos_Crudos!I46),3)="TEC","Tecnología",IF(UPPER(Datos_Crudos!I46)="HOGAR","Hogar","Oficina"))</f>
        <v>Oficina</v>
      </c>
    </row>
    <row r="47" customFormat="false" ht="15" hidden="false" customHeight="true" outlineLevel="0" collapsed="false">
      <c r="H47" s="1" t="str">
        <f aca="false">IF(LEFT(UPPER(Datos_Crudos!I47),3)="TEC","Tecnología",IF(UPPER(Datos_Crudos!I47)="HOGAR","Hogar","Oficina"))</f>
        <v>Tecnología</v>
      </c>
    </row>
    <row r="48" customFormat="false" ht="15" hidden="false" customHeight="true" outlineLevel="0" collapsed="false">
      <c r="H48" s="1" t="str">
        <f aca="false">IF(LEFT(UPPER(Datos_Crudos!I48),3)="TEC","Tecnología",IF(UPPER(Datos_Crudos!I48)="HOGAR","Hogar","Oficina"))</f>
        <v>Tecnología</v>
      </c>
    </row>
    <row r="49" customFormat="false" ht="15" hidden="false" customHeight="true" outlineLevel="0" collapsed="false">
      <c r="H49" s="1" t="str">
        <f aca="false">IF(LEFT(UPPER(Datos_Crudos!I49),3)="TEC","Tecnología",IF(UPPER(Datos_Crudos!I49)="HOGAR","Hogar","Oficina"))</f>
        <v>Oficina</v>
      </c>
    </row>
    <row r="50" customFormat="false" ht="15" hidden="false" customHeight="true" outlineLevel="0" collapsed="false">
      <c r="H50" s="1" t="str">
        <f aca="false">IF(LEFT(UPPER(Datos_Crudos!I50),3)="TEC","Tecnología",IF(UPPER(Datos_Crudos!I50)="HOGAR","Hogar","Oficina"))</f>
        <v>Tecnología</v>
      </c>
    </row>
    <row r="51" customFormat="false" ht="15" hidden="false" customHeight="true" outlineLevel="0" collapsed="false">
      <c r="H51" s="1" t="str">
        <f aca="false">IF(LEFT(UPPER(Datos_Crudos!I51),3)="TEC","Tecnología",IF(UPPER(Datos_Crudos!I51)="HOGAR","Hogar","Oficina"))</f>
        <v>Tecnología</v>
      </c>
    </row>
    <row r="52" customFormat="false" ht="15" hidden="false" customHeight="true" outlineLevel="0" collapsed="false">
      <c r="H52" s="1" t="str">
        <f aca="false">IF(LEFT(UPPER(Datos_Crudos!I52),3)="TEC","Tecnología",IF(UPPER(Datos_Crudos!I52)="HOGAR","Hogar","Oficina"))</f>
        <v>Oficina</v>
      </c>
    </row>
    <row r="53" customFormat="false" ht="15" hidden="false" customHeight="true" outlineLevel="0" collapsed="false">
      <c r="H53" s="1" t="str">
        <f aca="false">IF(LEFT(UPPER(Datos_Crudos!I53),3)="TEC","Tecnología",IF(UPPER(Datos_Crudos!I53)="HOGAR","Hogar","Oficina"))</f>
        <v>Tecnología</v>
      </c>
    </row>
    <row r="54" customFormat="false" ht="15" hidden="false" customHeight="true" outlineLevel="0" collapsed="false">
      <c r="H54" s="1" t="str">
        <f aca="false">IF(LEFT(UPPER(Datos_Crudos!I54),3)="TEC","Tecnología",IF(UPPER(Datos_Crudos!I54)="HOGAR","Hogar","Oficina"))</f>
        <v>Tecnología</v>
      </c>
    </row>
    <row r="55" customFormat="false" ht="15" hidden="false" customHeight="true" outlineLevel="0" collapsed="false">
      <c r="H55" s="1" t="str">
        <f aca="false">IF(LEFT(UPPER(Datos_Crudos!I55),3)="TEC","Tecnología",IF(UPPER(Datos_Crudos!I55)="HOGAR","Hogar","Oficina"))</f>
        <v>Tecnología</v>
      </c>
    </row>
    <row r="56" customFormat="false" ht="15" hidden="false" customHeight="true" outlineLevel="0" collapsed="false">
      <c r="H56" s="1" t="str">
        <f aca="false">IF(LEFT(UPPER(Datos_Crudos!I56),3)="TEC","Tecnología",IF(UPPER(Datos_Crudos!I56)="HOGAR","Hogar","Oficina"))</f>
        <v>Tecnología</v>
      </c>
    </row>
    <row r="57" customFormat="false" ht="15" hidden="false" customHeight="true" outlineLevel="0" collapsed="false">
      <c r="H57" s="1" t="str">
        <f aca="false">IF(LEFT(UPPER(Datos_Crudos!I57),3)="TEC","Tecnología",IF(UPPER(Datos_Crudos!I57)="HOGAR","Hogar","Oficina"))</f>
        <v>Tecnología</v>
      </c>
    </row>
    <row r="58" customFormat="false" ht="15" hidden="false" customHeight="true" outlineLevel="0" collapsed="false">
      <c r="H58" s="1" t="str">
        <f aca="false">IF(LEFT(UPPER(Datos_Crudos!I58),3)="TEC","Tecnología",IF(UPPER(Datos_Crudos!I58)="HOGAR","Hogar","Oficina"))</f>
        <v>Tecnología</v>
      </c>
    </row>
    <row r="59" customFormat="false" ht="15" hidden="false" customHeight="true" outlineLevel="0" collapsed="false">
      <c r="H59" s="1" t="str">
        <f aca="false">IF(LEFT(UPPER(Datos_Crudos!I59),3)="TEC","Tecnología",IF(UPPER(Datos_Crudos!I59)="HOGAR","Hogar","Oficina"))</f>
        <v>Hogar</v>
      </c>
    </row>
    <row r="60" customFormat="false" ht="15" hidden="false" customHeight="true" outlineLevel="0" collapsed="false">
      <c r="H60" s="1" t="str">
        <f aca="false">IF(LEFT(UPPER(Datos_Crudos!I60),3)="TEC","Tecnología",IF(UPPER(Datos_Crudos!I60)="HOGAR","Hogar","Oficina"))</f>
        <v>Oficina</v>
      </c>
    </row>
    <row r="61" customFormat="false" ht="15" hidden="false" customHeight="true" outlineLevel="0" collapsed="false">
      <c r="H61" s="1" t="str">
        <f aca="false">IF(LEFT(UPPER(Datos_Crudos!I61),3)="TEC","Tecnología",IF(UPPER(Datos_Crudos!I61)="HOGAR","Hogar","Oficina"))</f>
        <v>Tecnología</v>
      </c>
    </row>
    <row r="62" customFormat="false" ht="15" hidden="false" customHeight="true" outlineLevel="0" collapsed="false">
      <c r="H62" s="1" t="str">
        <f aca="false">IF(LEFT(UPPER(Datos_Crudos!I62),3)="TEC","Tecnología",IF(UPPER(Datos_Crudos!I62)="HOGAR","Hogar","Oficina"))</f>
        <v>Tecnología</v>
      </c>
    </row>
    <row r="63" customFormat="false" ht="15" hidden="false" customHeight="true" outlineLevel="0" collapsed="false">
      <c r="H63" s="1" t="str">
        <f aca="false">IF(LEFT(UPPER(Datos_Crudos!I63),3)="TEC","Tecnología",IF(UPPER(Datos_Crudos!I63)="HOGAR","Hogar","Oficina"))</f>
        <v>Tecnología</v>
      </c>
    </row>
    <row r="64" customFormat="false" ht="15" hidden="false" customHeight="true" outlineLevel="0" collapsed="false">
      <c r="H64" s="1" t="str">
        <f aca="false">IF(LEFT(UPPER(Datos_Crudos!I64),3)="TEC","Tecnología",IF(UPPER(Datos_Crudos!I64)="HOGAR","Hogar","Oficina"))</f>
        <v>Tecnología</v>
      </c>
    </row>
    <row r="65" customFormat="false" ht="15" hidden="false" customHeight="true" outlineLevel="0" collapsed="false">
      <c r="H65" s="1" t="str">
        <f aca="false">IF(LEFT(UPPER(Datos_Crudos!I65),3)="TEC","Tecnología",IF(UPPER(Datos_Crudos!I65)="HOGAR","Hogar","Oficina"))</f>
        <v>Oficina</v>
      </c>
    </row>
    <row r="66" customFormat="false" ht="15" hidden="false" customHeight="true" outlineLevel="0" collapsed="false">
      <c r="H66" s="1" t="str">
        <f aca="false">IF(LEFT(UPPER(Datos_Crudos!I66),3)="TEC","Tecnología",IF(UPPER(Datos_Crudos!I66)="HOGAR","Hogar","Oficina"))</f>
        <v>Tecnología</v>
      </c>
    </row>
    <row r="67" customFormat="false" ht="15" hidden="false" customHeight="true" outlineLevel="0" collapsed="false">
      <c r="H67" s="1" t="str">
        <f aca="false">IF(LEFT(UPPER(Datos_Crudos!I67),3)="TEC","Tecnología",IF(UPPER(Datos_Crudos!I67)="HOGAR","Hogar","Oficina"))</f>
        <v>Tecnología</v>
      </c>
    </row>
    <row r="68" customFormat="false" ht="15" hidden="false" customHeight="true" outlineLevel="0" collapsed="false">
      <c r="H68" s="1" t="str">
        <f aca="false">IF(LEFT(UPPER(Datos_Crudos!I68),3)="TEC","Tecnología",IF(UPPER(Datos_Crudos!I68)="HOGAR","Hogar","Oficina"))</f>
        <v>Hogar</v>
      </c>
    </row>
    <row r="69" customFormat="false" ht="15" hidden="false" customHeight="true" outlineLevel="0" collapsed="false">
      <c r="H69" s="1" t="str">
        <f aca="false">IF(LEFT(UPPER(Datos_Crudos!I69),3)="TEC","Tecnología",IF(UPPER(Datos_Crudos!I69)="HOGAR","Hogar","Oficina"))</f>
        <v>Tecnología</v>
      </c>
    </row>
    <row r="70" customFormat="false" ht="15" hidden="false" customHeight="true" outlineLevel="0" collapsed="false">
      <c r="H70" s="1" t="str">
        <f aca="false">IF(LEFT(UPPER(Datos_Crudos!I70),3)="TEC","Tecnología",IF(UPPER(Datos_Crudos!I70)="HOGAR","Hogar","Oficina"))</f>
        <v>Hogar</v>
      </c>
    </row>
    <row r="71" customFormat="false" ht="15" hidden="false" customHeight="true" outlineLevel="0" collapsed="false">
      <c r="H71" s="1" t="str">
        <f aca="false">IF(LEFT(UPPER(Datos_Crudos!I71),3)="TEC","Tecnología",IF(UPPER(Datos_Crudos!I71)="HOGAR","Hogar","Oficina"))</f>
        <v>Tecnología</v>
      </c>
    </row>
    <row r="72" customFormat="false" ht="15" hidden="false" customHeight="true" outlineLevel="0" collapsed="false">
      <c r="H72" s="1" t="str">
        <f aca="false">IF(LEFT(UPPER(Datos_Crudos!I72),3)="TEC","Tecnología",IF(UPPER(Datos_Crudos!I72)="HOGAR","Hogar","Oficina"))</f>
        <v>Tecnología</v>
      </c>
    </row>
    <row r="73" customFormat="false" ht="15" hidden="false" customHeight="true" outlineLevel="0" collapsed="false">
      <c r="H73" s="1" t="str">
        <f aca="false">IF(LEFT(UPPER(Datos_Crudos!I73),3)="TEC","Tecnología",IF(UPPER(Datos_Crudos!I73)="HOGAR","Hogar","Oficina"))</f>
        <v>Oficina</v>
      </c>
    </row>
    <row r="74" customFormat="false" ht="15" hidden="false" customHeight="true" outlineLevel="0" collapsed="false">
      <c r="H74" s="1" t="str">
        <f aca="false">IF(LEFT(UPPER(Datos_Crudos!I74),3)="TEC","Tecnología",IF(UPPER(Datos_Crudos!I74)="HOGAR","Hogar","Oficina"))</f>
        <v>Tecnología</v>
      </c>
    </row>
    <row r="75" customFormat="false" ht="15" hidden="false" customHeight="true" outlineLevel="0" collapsed="false">
      <c r="H75" s="1" t="str">
        <f aca="false">IF(LEFT(UPPER(Datos_Crudos!I75),3)="TEC","Tecnología",IF(UPPER(Datos_Crudos!I75)="HOGAR","Hogar","Oficina"))</f>
        <v>Tecnología</v>
      </c>
    </row>
    <row r="76" customFormat="false" ht="15" hidden="false" customHeight="true" outlineLevel="0" collapsed="false">
      <c r="H76" s="1" t="str">
        <f aca="false">IF(LEFT(UPPER(Datos_Crudos!I76),3)="TEC","Tecnología",IF(UPPER(Datos_Crudos!I76)="HOGAR","Hogar","Oficina"))</f>
        <v>Oficina</v>
      </c>
    </row>
    <row r="77" customFormat="false" ht="15" hidden="false" customHeight="true" outlineLevel="0" collapsed="false">
      <c r="H77" s="1" t="str">
        <f aca="false">IF(LEFT(UPPER(Datos_Crudos!I77),3)="TEC","Tecnología",IF(UPPER(Datos_Crudos!I77)="HOGAR","Hogar","Oficina"))</f>
        <v>Hogar</v>
      </c>
    </row>
    <row r="78" customFormat="false" ht="15" hidden="false" customHeight="true" outlineLevel="0" collapsed="false">
      <c r="H78" s="1" t="str">
        <f aca="false">IF(LEFT(UPPER(Datos_Crudos!I78),3)="TEC","Tecnología",IF(UPPER(Datos_Crudos!I78)="HOGAR","Hogar","Oficina"))</f>
        <v>Tecnología</v>
      </c>
    </row>
    <row r="79" customFormat="false" ht="15" hidden="false" customHeight="true" outlineLevel="0" collapsed="false">
      <c r="H79" s="1" t="str">
        <f aca="false">IF(LEFT(UPPER(Datos_Crudos!I79),3)="TEC","Tecnología",IF(UPPER(Datos_Crudos!I79)="HOGAR","Hogar","Oficina"))</f>
        <v>Tecnología</v>
      </c>
    </row>
    <row r="80" customFormat="false" ht="15" hidden="false" customHeight="true" outlineLevel="0" collapsed="false">
      <c r="H80" s="1" t="str">
        <f aca="false">IF(LEFT(UPPER(Datos_Crudos!I80),3)="TEC","Tecnología",IF(UPPER(Datos_Crudos!I80)="HOGAR","Hogar","Oficina"))</f>
        <v>Tecnología</v>
      </c>
    </row>
    <row r="81" customFormat="false" ht="15" hidden="false" customHeight="true" outlineLevel="0" collapsed="false">
      <c r="H81" s="1" t="str">
        <f aca="false">IF(LEFT(UPPER(Datos_Crudos!I81),3)="TEC","Tecnología",IF(UPPER(Datos_Crudos!I81)="HOGAR","Hogar","Oficina"))</f>
        <v>Hogar</v>
      </c>
    </row>
    <row r="82" customFormat="false" ht="15" hidden="false" customHeight="true" outlineLevel="0" collapsed="false">
      <c r="H82" s="1" t="str">
        <f aca="false">IF(LEFT(UPPER(Datos_Crudos!I82),3)="TEC","Tecnología",IF(UPPER(Datos_Crudos!I82)="HOGAR","Hogar","Oficina"))</f>
        <v>Oficina</v>
      </c>
    </row>
    <row r="83" customFormat="false" ht="15" hidden="false" customHeight="true" outlineLevel="0" collapsed="false">
      <c r="H83" s="1" t="str">
        <f aca="false">IF(LEFT(UPPER(Datos_Crudos!I83),3)="TEC","Tecnología",IF(UPPER(Datos_Crudos!I83)="HOGAR","Hogar","Oficina"))</f>
        <v>Tecnología</v>
      </c>
    </row>
    <row r="84" customFormat="false" ht="15" hidden="false" customHeight="true" outlineLevel="0" collapsed="false">
      <c r="H84" s="1" t="str">
        <f aca="false">IF(LEFT(UPPER(Datos_Crudos!I84),3)="TEC","Tecnología",IF(UPPER(Datos_Crudos!I84)="HOGAR","Hogar","Oficina"))</f>
        <v>Oficina</v>
      </c>
    </row>
    <row r="85" customFormat="false" ht="15" hidden="false" customHeight="true" outlineLevel="0" collapsed="false">
      <c r="H85" s="1" t="str">
        <f aca="false">IF(LEFT(UPPER(Datos_Crudos!I85),3)="TEC","Tecnología",IF(UPPER(Datos_Crudos!I85)="HOGAR","Hogar","Oficina"))</f>
        <v>Tecnología</v>
      </c>
    </row>
    <row r="86" customFormat="false" ht="15" hidden="false" customHeight="true" outlineLevel="0" collapsed="false">
      <c r="H86" s="1" t="str">
        <f aca="false">IF(LEFT(UPPER(Datos_Crudos!I86),3)="TEC","Tecnología",IF(UPPER(Datos_Crudos!I86)="HOGAR","Hogar","Oficina"))</f>
        <v>Tecnología</v>
      </c>
    </row>
    <row r="87" customFormat="false" ht="15" hidden="false" customHeight="true" outlineLevel="0" collapsed="false">
      <c r="H87" s="1" t="str">
        <f aca="false">IF(LEFT(UPPER(Datos_Crudos!I87),3)="TEC","Tecnología",IF(UPPER(Datos_Crudos!I87)="HOGAR","Hogar","Oficina"))</f>
        <v>Tecnología</v>
      </c>
    </row>
    <row r="88" customFormat="false" ht="15" hidden="false" customHeight="true" outlineLevel="0" collapsed="false">
      <c r="H88" s="1" t="str">
        <f aca="false">IF(LEFT(UPPER(Datos_Crudos!I88),3)="TEC","Tecnología",IF(UPPER(Datos_Crudos!I88)="HOGAR","Hogar","Oficina"))</f>
        <v>Tecnología</v>
      </c>
    </row>
    <row r="89" customFormat="false" ht="15" hidden="false" customHeight="true" outlineLevel="0" collapsed="false">
      <c r="H89" s="1" t="str">
        <f aca="false">IF(LEFT(UPPER(Datos_Crudos!I89),3)="TEC","Tecnología",IF(UPPER(Datos_Crudos!I89)="HOGAR","Hogar","Oficina"))</f>
        <v>Tecnología</v>
      </c>
    </row>
    <row r="90" customFormat="false" ht="15" hidden="false" customHeight="true" outlineLevel="0" collapsed="false">
      <c r="H90" s="1" t="str">
        <f aca="false">IF(LEFT(UPPER(Datos_Crudos!I90),3)="TEC","Tecnología",IF(UPPER(Datos_Crudos!I90)="HOGAR","Hogar","Oficina"))</f>
        <v>Oficina</v>
      </c>
    </row>
    <row r="91" customFormat="false" ht="15" hidden="false" customHeight="true" outlineLevel="0" collapsed="false">
      <c r="H91" s="1" t="str">
        <f aca="false">IF(LEFT(UPPER(Datos_Crudos!I91),3)="TEC","Tecnología",IF(UPPER(Datos_Crudos!I91)="HOGAR","Hogar","Oficina"))</f>
        <v>Tecnología</v>
      </c>
    </row>
    <row r="92" customFormat="false" ht="15" hidden="false" customHeight="true" outlineLevel="0" collapsed="false">
      <c r="H92" s="1" t="str">
        <f aca="false">IF(LEFT(UPPER(Datos_Crudos!I92),3)="TEC","Tecnología",IF(UPPER(Datos_Crudos!I92)="HOGAR","Hogar","Oficina"))</f>
        <v>Tecnología</v>
      </c>
    </row>
    <row r="93" customFormat="false" ht="15" hidden="false" customHeight="true" outlineLevel="0" collapsed="false">
      <c r="H93" s="1" t="str">
        <f aca="false">IF(LEFT(UPPER(Datos_Crudos!I93),3)="TEC","Tecnología",IF(UPPER(Datos_Crudos!I93)="HOGAR","Hogar","Oficina"))</f>
        <v>Oficina</v>
      </c>
    </row>
    <row r="94" customFormat="false" ht="15" hidden="false" customHeight="true" outlineLevel="0" collapsed="false">
      <c r="H94" s="1" t="str">
        <f aca="false">IF(LEFT(UPPER(Datos_Crudos!I94),3)="TEC","Tecnología",IF(UPPER(Datos_Crudos!I94)="HOGAR","Hogar","Oficina"))</f>
        <v>Hogar</v>
      </c>
    </row>
    <row r="95" customFormat="false" ht="15" hidden="false" customHeight="true" outlineLevel="0" collapsed="false">
      <c r="H95" s="1" t="str">
        <f aca="false">IF(LEFT(UPPER(Datos_Crudos!I95),3)="TEC","Tecnología",IF(UPPER(Datos_Crudos!I95)="HOGAR","Hogar","Oficina"))</f>
        <v>Tecnología</v>
      </c>
    </row>
    <row r="96" customFormat="false" ht="15" hidden="false" customHeight="true" outlineLevel="0" collapsed="false">
      <c r="H96" s="1" t="str">
        <f aca="false">IF(LEFT(UPPER(Datos_Crudos!I96),3)="TEC","Tecnología",IF(UPPER(Datos_Crudos!I96)="HOGAR","Hogar","Oficina"))</f>
        <v>Hogar</v>
      </c>
    </row>
    <row r="97" customFormat="false" ht="15" hidden="false" customHeight="true" outlineLevel="0" collapsed="false">
      <c r="H97" s="1" t="str">
        <f aca="false">IF(LEFT(UPPER(Datos_Crudos!I97),3)="TEC","Tecnología",IF(UPPER(Datos_Crudos!I97)="HOGAR","Hogar","Oficina"))</f>
        <v>Tecnología</v>
      </c>
    </row>
    <row r="98" customFormat="false" ht="15" hidden="false" customHeight="true" outlineLevel="0" collapsed="false">
      <c r="H98" s="1" t="str">
        <f aca="false">IF(LEFT(UPPER(Datos_Crudos!I98),3)="TEC","Tecnología",IF(UPPER(Datos_Crudos!I98)="HOGAR","Hogar","Oficina"))</f>
        <v>Tecnología</v>
      </c>
    </row>
    <row r="99" customFormat="false" ht="15" hidden="false" customHeight="true" outlineLevel="0" collapsed="false">
      <c r="H99" s="1" t="str">
        <f aca="false">IF(LEFT(UPPER(Datos_Crudos!I99),3)="TEC","Tecnología",IF(UPPER(Datos_Crudos!I99)="HOGAR","Hogar","Oficina"))</f>
        <v>Tecnología</v>
      </c>
    </row>
    <row r="100" customFormat="false" ht="15" hidden="false" customHeight="true" outlineLevel="0" collapsed="false">
      <c r="H100" s="1" t="str">
        <f aca="false">IF(LEFT(UPPER(Datos_Crudos!I100),3)="TEC","Tecnología",IF(UPPER(Datos_Crudos!I100)="HOGAR","Hogar","Oficina"))</f>
        <v>Tecnología</v>
      </c>
    </row>
    <row r="101" customFormat="false" ht="15" hidden="false" customHeight="true" outlineLevel="0" collapsed="false">
      <c r="H101" s="1" t="str">
        <f aca="false">IF(LEFT(UPPER(Datos_Crudos!I101),3)="TEC","Tecnología",IF(UPPER(Datos_Crudos!I101)="HOGAR","Hogar","Oficina"))</f>
        <v>Tecnología</v>
      </c>
    </row>
    <row r="102" customFormat="false" ht="15" hidden="false" customHeight="true" outlineLevel="0" collapsed="false">
      <c r="H102" s="1" t="str">
        <f aca="false">IF(LEFT(UPPER(Datos_Crudos!I102),3)="TEC","Tecnología",IF(UPPER(Datos_Crudos!I102)="HOGAR","Hogar","Oficina"))</f>
        <v>Tecnología</v>
      </c>
    </row>
    <row r="103" customFormat="false" ht="15" hidden="false" customHeight="true" outlineLevel="0" collapsed="false">
      <c r="H103" s="1" t="str">
        <f aca="false">IF(LEFT(UPPER(Datos_Crudos!I103),3)="TEC","Tecnología",IF(UPPER(Datos_Crudos!I103)="HOGAR","Hogar","Oficina"))</f>
        <v>Tecnología</v>
      </c>
    </row>
    <row r="104" customFormat="false" ht="15" hidden="false" customHeight="true" outlineLevel="0" collapsed="false">
      <c r="H104" s="1" t="str">
        <f aca="false">IF(LEFT(UPPER(Datos_Crudos!I104),3)="TEC","Tecnología",IF(UPPER(Datos_Crudos!I104)="HOGAR","Hogar","Oficina"))</f>
        <v>Hogar</v>
      </c>
    </row>
    <row r="105" customFormat="false" ht="15" hidden="false" customHeight="true" outlineLevel="0" collapsed="false">
      <c r="H105" s="1" t="str">
        <f aca="false">IF(LEFT(UPPER(Datos_Crudos!I105),3)="TEC","Tecnología",IF(UPPER(Datos_Crudos!I105)="HOGAR","Hogar","Oficina"))</f>
        <v>Hogar</v>
      </c>
    </row>
    <row r="106" customFormat="false" ht="15" hidden="false" customHeight="true" outlineLevel="0" collapsed="false">
      <c r="H106" s="1" t="str">
        <f aca="false">IF(LEFT(UPPER(Datos_Crudos!I106),3)="TEC","Tecnología",IF(UPPER(Datos_Crudos!I106)="HOGAR","Hogar","Oficina"))</f>
        <v>Hogar</v>
      </c>
    </row>
    <row r="107" customFormat="false" ht="15" hidden="false" customHeight="true" outlineLevel="0" collapsed="false">
      <c r="H107" s="1" t="str">
        <f aca="false">IF(LEFT(UPPER(Datos_Crudos!I107),3)="TEC","Tecnología",IF(UPPER(Datos_Crudos!I107)="HOGAR","Hogar","Oficina"))</f>
        <v>Tecnología</v>
      </c>
    </row>
    <row r="108" customFormat="false" ht="15" hidden="false" customHeight="true" outlineLevel="0" collapsed="false">
      <c r="H108" s="1" t="str">
        <f aca="false">IF(LEFT(UPPER(Datos_Crudos!I108),3)="TEC","Tecnología",IF(UPPER(Datos_Crudos!I108)="HOGAR","Hogar","Oficina"))</f>
        <v>Oficina</v>
      </c>
    </row>
    <row r="109" customFormat="false" ht="15" hidden="false" customHeight="true" outlineLevel="0" collapsed="false">
      <c r="H109" s="1" t="str">
        <f aca="false">IF(LEFT(UPPER(Datos_Crudos!I109),3)="TEC","Tecnología",IF(UPPER(Datos_Crudos!I109)="HOGAR","Hogar","Oficina"))</f>
        <v>Tecnología</v>
      </c>
    </row>
    <row r="110" customFormat="false" ht="15" hidden="false" customHeight="true" outlineLevel="0" collapsed="false">
      <c r="H110" s="1" t="str">
        <f aca="false">IF(LEFT(UPPER(Datos_Crudos!I110),3)="TEC","Tecnología",IF(UPPER(Datos_Crudos!I110)="HOGAR","Hogar","Oficina"))</f>
        <v>Oficina</v>
      </c>
    </row>
    <row r="111" customFormat="false" ht="15" hidden="false" customHeight="true" outlineLevel="0" collapsed="false">
      <c r="H111" s="1" t="str">
        <f aca="false">IF(LEFT(UPPER(Datos_Crudos!I111),3)="TEC","Tecnología",IF(UPPER(Datos_Crudos!I111)="HOGAR","Hogar","Oficina"))</f>
        <v>Hogar</v>
      </c>
    </row>
    <row r="112" customFormat="false" ht="15" hidden="false" customHeight="true" outlineLevel="0" collapsed="false">
      <c r="H112" s="1" t="str">
        <f aca="false">IF(LEFT(UPPER(Datos_Crudos!I112),3)="TEC","Tecnología",IF(UPPER(Datos_Crudos!I112)="HOGAR","Hogar","Oficina"))</f>
        <v>Oficina</v>
      </c>
    </row>
    <row r="113" customFormat="false" ht="15" hidden="false" customHeight="true" outlineLevel="0" collapsed="false">
      <c r="H113" s="1" t="str">
        <f aca="false">IF(LEFT(UPPER(Datos_Crudos!I113),3)="TEC","Tecnología",IF(UPPER(Datos_Crudos!I113)="HOGAR","Hogar","Oficina"))</f>
        <v>Oficina</v>
      </c>
    </row>
    <row r="114" customFormat="false" ht="15" hidden="false" customHeight="true" outlineLevel="0" collapsed="false">
      <c r="H114" s="1" t="str">
        <f aca="false">IF(LEFT(UPPER(Datos_Crudos!I114),3)="TEC","Tecnología",IF(UPPER(Datos_Crudos!I114)="HOGAR","Hogar","Oficina"))</f>
        <v>Oficina</v>
      </c>
    </row>
    <row r="115" customFormat="false" ht="15" hidden="false" customHeight="true" outlineLevel="0" collapsed="false">
      <c r="H115" s="1" t="str">
        <f aca="false">IF(LEFT(UPPER(Datos_Crudos!I115),3)="TEC","Tecnología",IF(UPPER(Datos_Crudos!I115)="HOGAR","Hogar","Oficina"))</f>
        <v>Oficina</v>
      </c>
    </row>
    <row r="116" customFormat="false" ht="15" hidden="false" customHeight="true" outlineLevel="0" collapsed="false">
      <c r="H116" s="1" t="str">
        <f aca="false">IF(LEFT(UPPER(Datos_Crudos!I116),3)="TEC","Tecnología",IF(UPPER(Datos_Crudos!I116)="HOGAR","Hogar","Oficina"))</f>
        <v>Tecnología</v>
      </c>
    </row>
    <row r="117" customFormat="false" ht="15" hidden="false" customHeight="true" outlineLevel="0" collapsed="false">
      <c r="H117" s="1" t="str">
        <f aca="false">IF(LEFT(UPPER(Datos_Crudos!I117),3)="TEC","Tecnología",IF(UPPER(Datos_Crudos!I117)="HOGAR","Hogar","Oficina"))</f>
        <v>Oficina</v>
      </c>
    </row>
    <row r="118" customFormat="false" ht="15" hidden="false" customHeight="true" outlineLevel="0" collapsed="false">
      <c r="H118" s="1" t="str">
        <f aca="false">IF(LEFT(UPPER(Datos_Crudos!I118),3)="TEC","Tecnología",IF(UPPER(Datos_Crudos!I118)="HOGAR","Hogar","Oficina"))</f>
        <v>Oficina</v>
      </c>
    </row>
    <row r="119" customFormat="false" ht="15" hidden="false" customHeight="true" outlineLevel="0" collapsed="false">
      <c r="H119" s="1" t="str">
        <f aca="false">IF(LEFT(UPPER(Datos_Crudos!I119),3)="TEC","Tecnología",IF(UPPER(Datos_Crudos!I119)="HOGAR","Hogar","Oficina"))</f>
        <v>Tecnología</v>
      </c>
    </row>
    <row r="120" customFormat="false" ht="15" hidden="false" customHeight="true" outlineLevel="0" collapsed="false">
      <c r="H120" s="1" t="str">
        <f aca="false">IF(LEFT(UPPER(Datos_Crudos!I120),3)="TEC","Tecnología",IF(UPPER(Datos_Crudos!I120)="HOGAR","Hogar","Oficina"))</f>
        <v>Tecnología</v>
      </c>
    </row>
    <row r="121" customFormat="false" ht="15" hidden="false" customHeight="true" outlineLevel="0" collapsed="false">
      <c r="H121" s="1" t="str">
        <f aca="false">IF(LEFT(UPPER(Datos_Crudos!I121),3)="TEC","Tecnología",IF(UPPER(Datos_Crudos!I121)="HOGAR","Hogar","Oficina"))</f>
        <v>Tecnología</v>
      </c>
    </row>
    <row r="122" customFormat="false" ht="15" hidden="false" customHeight="true" outlineLevel="0" collapsed="false">
      <c r="H122" s="1" t="str">
        <f aca="false">IF(LEFT(UPPER(Datos_Crudos!I122),3)="TEC","Tecnología",IF(UPPER(Datos_Crudos!I122)="HOGAR","Hogar","Oficina"))</f>
        <v>Oficina</v>
      </c>
    </row>
    <row r="123" customFormat="false" ht="15" hidden="false" customHeight="true" outlineLevel="0" collapsed="false">
      <c r="H123" s="1" t="str">
        <f aca="false">IF(LEFT(UPPER(Datos_Crudos!I123),3)="TEC","Tecnología",IF(UPPER(Datos_Crudos!I123)="HOGAR","Hogar","Oficina"))</f>
        <v>Hogar</v>
      </c>
    </row>
    <row r="124" customFormat="false" ht="15" hidden="false" customHeight="true" outlineLevel="0" collapsed="false">
      <c r="H124" s="1" t="str">
        <f aca="false">IF(LEFT(UPPER(Datos_Crudos!I124),3)="TEC","Tecnología",IF(UPPER(Datos_Crudos!I124)="HOGAR","Hogar","Oficina"))</f>
        <v>Tecnología</v>
      </c>
    </row>
    <row r="125" customFormat="false" ht="15" hidden="false" customHeight="true" outlineLevel="0" collapsed="false">
      <c r="H125" s="1" t="str">
        <f aca="false">IF(LEFT(UPPER(Datos_Crudos!I125),3)="TEC","Tecnología",IF(UPPER(Datos_Crudos!I125)="HOGAR","Hogar","Oficina"))</f>
        <v>Tecnología</v>
      </c>
    </row>
    <row r="126" customFormat="false" ht="15" hidden="false" customHeight="true" outlineLevel="0" collapsed="false">
      <c r="H126" s="1" t="str">
        <f aca="false">IF(LEFT(UPPER(Datos_Crudos!I126),3)="TEC","Tecnología",IF(UPPER(Datos_Crudos!I126)="HOGAR","Hogar","Oficina"))</f>
        <v>Tecnología</v>
      </c>
    </row>
    <row r="127" customFormat="false" ht="15" hidden="false" customHeight="true" outlineLevel="0" collapsed="false">
      <c r="H127" s="1" t="str">
        <f aca="false">IF(LEFT(UPPER(Datos_Crudos!I127),3)="TEC","Tecnología",IF(UPPER(Datos_Crudos!I127)="HOGAR","Hogar","Oficina"))</f>
        <v>Tecnología</v>
      </c>
    </row>
    <row r="128" customFormat="false" ht="15" hidden="false" customHeight="true" outlineLevel="0" collapsed="false">
      <c r="H128" s="1" t="str">
        <f aca="false">IF(LEFT(UPPER(Datos_Crudos!I128),3)="TEC","Tecnología",IF(UPPER(Datos_Crudos!I128)="HOGAR","Hogar","Oficina"))</f>
        <v>Oficina</v>
      </c>
    </row>
    <row r="129" customFormat="false" ht="15" hidden="false" customHeight="true" outlineLevel="0" collapsed="false">
      <c r="H129" s="1" t="str">
        <f aca="false">IF(LEFT(UPPER(Datos_Crudos!I129),3)="TEC","Tecnología",IF(UPPER(Datos_Crudos!I129)="HOGAR","Hogar","Oficina"))</f>
        <v>Tecnología</v>
      </c>
    </row>
    <row r="130" customFormat="false" ht="15" hidden="false" customHeight="true" outlineLevel="0" collapsed="false">
      <c r="H130" s="1" t="str">
        <f aca="false">IF(LEFT(UPPER(Datos_Crudos!I130),3)="TEC","Tecnología",IF(UPPER(Datos_Crudos!I130)="HOGAR","Hogar","Oficina"))</f>
        <v>Tecnología</v>
      </c>
    </row>
    <row r="131" customFormat="false" ht="15" hidden="false" customHeight="true" outlineLevel="0" collapsed="false">
      <c r="H131" s="1" t="str">
        <f aca="false">IF(LEFT(UPPER(Datos_Crudos!I131),3)="TEC","Tecnología",IF(UPPER(Datos_Crudos!I131)="HOGAR","Hogar","Oficina"))</f>
        <v>Tecnología</v>
      </c>
    </row>
    <row r="132" customFormat="false" ht="15" hidden="false" customHeight="true" outlineLevel="0" collapsed="false">
      <c r="H132" s="1" t="str">
        <f aca="false">IF(LEFT(UPPER(Datos_Crudos!I132),3)="TEC","Tecnología",IF(UPPER(Datos_Crudos!I132)="HOGAR","Hogar","Oficina"))</f>
        <v>Tecnología</v>
      </c>
    </row>
    <row r="133" customFormat="false" ht="15" hidden="false" customHeight="true" outlineLevel="0" collapsed="false">
      <c r="H133" s="1" t="str">
        <f aca="false">IF(LEFT(UPPER(Datos_Crudos!I133),3)="TEC","Tecnología",IF(UPPER(Datos_Crudos!I133)="HOGAR","Hogar","Oficina"))</f>
        <v>Tecnología</v>
      </c>
    </row>
    <row r="134" customFormat="false" ht="15" hidden="false" customHeight="true" outlineLevel="0" collapsed="false">
      <c r="H134" s="1" t="str">
        <f aca="false">IF(LEFT(UPPER(Datos_Crudos!I134),3)="TEC","Tecnología",IF(UPPER(Datos_Crudos!I134)="HOGAR","Hogar","Oficina"))</f>
        <v>Tecnología</v>
      </c>
    </row>
    <row r="135" customFormat="false" ht="15" hidden="false" customHeight="true" outlineLevel="0" collapsed="false">
      <c r="H135" s="1" t="str">
        <f aca="false">IF(LEFT(UPPER(Datos_Crudos!I135),3)="TEC","Tecnología",IF(UPPER(Datos_Crudos!I135)="HOGAR","Hogar","Oficina"))</f>
        <v>Tecnología</v>
      </c>
    </row>
    <row r="136" customFormat="false" ht="15" hidden="false" customHeight="true" outlineLevel="0" collapsed="false">
      <c r="H136" s="1" t="str">
        <f aca="false">IF(LEFT(UPPER(Datos_Crudos!I136),3)="TEC","Tecnología",IF(UPPER(Datos_Crudos!I136)="HOGAR","Hogar","Oficina"))</f>
        <v>Tecnología</v>
      </c>
    </row>
    <row r="137" customFormat="false" ht="15" hidden="false" customHeight="true" outlineLevel="0" collapsed="false">
      <c r="H137" s="1" t="str">
        <f aca="false">IF(LEFT(UPPER(Datos_Crudos!I137),3)="TEC","Tecnología",IF(UPPER(Datos_Crudos!I137)="HOGAR","Hogar","Oficina"))</f>
        <v>Tecnología</v>
      </c>
    </row>
    <row r="138" customFormat="false" ht="15" hidden="false" customHeight="true" outlineLevel="0" collapsed="false">
      <c r="H138" s="1" t="str">
        <f aca="false">IF(LEFT(UPPER(Datos_Crudos!I138),3)="TEC","Tecnología",IF(UPPER(Datos_Crudos!I138)="HOGAR","Hogar","Oficina"))</f>
        <v>Tecnología</v>
      </c>
    </row>
    <row r="139" customFormat="false" ht="15" hidden="false" customHeight="true" outlineLevel="0" collapsed="false">
      <c r="H139" s="1" t="str">
        <f aca="false">IF(LEFT(UPPER(Datos_Crudos!I139),3)="TEC","Tecnología",IF(UPPER(Datos_Crudos!I139)="HOGAR","Hogar","Oficina"))</f>
        <v>Tecnología</v>
      </c>
    </row>
    <row r="140" customFormat="false" ht="15" hidden="false" customHeight="true" outlineLevel="0" collapsed="false">
      <c r="H140" s="1" t="str">
        <f aca="false">IF(LEFT(UPPER(Datos_Crudos!I140),3)="TEC","Tecnología",IF(UPPER(Datos_Crudos!I140)="HOGAR","Hogar","Oficina"))</f>
        <v>Hogar</v>
      </c>
    </row>
    <row r="141" customFormat="false" ht="15" hidden="false" customHeight="true" outlineLevel="0" collapsed="false">
      <c r="H141" s="1" t="str">
        <f aca="false">IF(LEFT(UPPER(Datos_Crudos!I141),3)="TEC","Tecnología",IF(UPPER(Datos_Crudos!I141)="HOGAR","Hogar","Oficina"))</f>
        <v>Tecnología</v>
      </c>
    </row>
    <row r="142" customFormat="false" ht="15" hidden="false" customHeight="true" outlineLevel="0" collapsed="false">
      <c r="H142" s="1" t="str">
        <f aca="false">IF(LEFT(UPPER(Datos_Crudos!I142),3)="TEC","Tecnología",IF(UPPER(Datos_Crudos!I142)="HOGAR","Hogar","Oficina"))</f>
        <v>Tecnología</v>
      </c>
    </row>
    <row r="143" customFormat="false" ht="15" hidden="false" customHeight="true" outlineLevel="0" collapsed="false">
      <c r="H143" s="1" t="str">
        <f aca="false">IF(LEFT(UPPER(Datos_Crudos!I143),3)="TEC","Tecnología",IF(UPPER(Datos_Crudos!I143)="HOGAR","Hogar","Oficina"))</f>
        <v>Hogar</v>
      </c>
    </row>
    <row r="144" customFormat="false" ht="15" hidden="false" customHeight="true" outlineLevel="0" collapsed="false">
      <c r="H144" s="1" t="str">
        <f aca="false">IF(LEFT(UPPER(Datos_Crudos!I144),3)="TEC","Tecnología",IF(UPPER(Datos_Crudos!I144)="HOGAR","Hogar","Oficina"))</f>
        <v>Oficina</v>
      </c>
    </row>
    <row r="145" customFormat="false" ht="15" hidden="false" customHeight="true" outlineLevel="0" collapsed="false">
      <c r="H145" s="1" t="str">
        <f aca="false">IF(LEFT(UPPER(Datos_Crudos!I145),3)="TEC","Tecnología",IF(UPPER(Datos_Crudos!I145)="HOGAR","Hogar","Oficina"))</f>
        <v>Tecnología</v>
      </c>
    </row>
    <row r="146" customFormat="false" ht="15" hidden="false" customHeight="true" outlineLevel="0" collapsed="false">
      <c r="H146" s="1" t="str">
        <f aca="false">IF(LEFT(UPPER(Datos_Crudos!I146),3)="TEC","Tecnología",IF(UPPER(Datos_Crudos!I146)="HOGAR","Hogar","Oficina"))</f>
        <v>Tecnología</v>
      </c>
    </row>
    <row r="147" customFormat="false" ht="15" hidden="false" customHeight="true" outlineLevel="0" collapsed="false">
      <c r="H147" s="1" t="str">
        <f aca="false">IF(LEFT(UPPER(Datos_Crudos!I147),3)="TEC","Tecnología",IF(UPPER(Datos_Crudos!I147)="HOGAR","Hogar","Oficina"))</f>
        <v>Oficina</v>
      </c>
    </row>
    <row r="148" customFormat="false" ht="15" hidden="false" customHeight="true" outlineLevel="0" collapsed="false">
      <c r="H148" s="1" t="str">
        <f aca="false">IF(LEFT(UPPER(Datos_Crudos!I148),3)="TEC","Tecnología",IF(UPPER(Datos_Crudos!I148)="HOGAR","Hogar","Oficina"))</f>
        <v>Hogar</v>
      </c>
    </row>
    <row r="149" customFormat="false" ht="15" hidden="false" customHeight="true" outlineLevel="0" collapsed="false">
      <c r="H149" s="1" t="str">
        <f aca="false">IF(LEFT(UPPER(Datos_Crudos!I149),3)="TEC","Tecnología",IF(UPPER(Datos_Crudos!I149)="HOGAR","Hogar","Oficina"))</f>
        <v>Tecnología</v>
      </c>
    </row>
    <row r="150" customFormat="false" ht="15" hidden="false" customHeight="true" outlineLevel="0" collapsed="false">
      <c r="H150" s="1" t="str">
        <f aca="false">IF(LEFT(UPPER(Datos_Crudos!I150),3)="TEC","Tecnología",IF(UPPER(Datos_Crudos!I150)="HOGAR","Hogar","Oficina"))</f>
        <v>Tecnología</v>
      </c>
    </row>
    <row r="151" customFormat="false" ht="15" hidden="false" customHeight="true" outlineLevel="0" collapsed="false">
      <c r="H151" s="1" t="str">
        <f aca="false">IF(LEFT(UPPER(Datos_Crudos!I151),3)="TEC","Tecnología",IF(UPPER(Datos_Crudos!I151)="HOGAR","Hogar","Oficina"))</f>
        <v>Tecnología</v>
      </c>
    </row>
    <row r="152" customFormat="false" ht="15" hidden="false" customHeight="true" outlineLevel="0" collapsed="false">
      <c r="H152" s="1" t="str">
        <f aca="false">IF(LEFT(UPPER(Datos_Crudos!I152),3)="TEC","Tecnología",IF(UPPER(Datos_Crudos!I152)="HOGAR","Hogar","Oficina"))</f>
        <v>Tecnología</v>
      </c>
    </row>
    <row r="153" customFormat="false" ht="15" hidden="false" customHeight="true" outlineLevel="0" collapsed="false">
      <c r="H153" s="1" t="str">
        <f aca="false">IF(LEFT(UPPER(Datos_Crudos!I153),3)="TEC","Tecnología",IF(UPPER(Datos_Crudos!I153)="HOGAR","Hogar","Oficina"))</f>
        <v>Tecnología</v>
      </c>
    </row>
    <row r="154" customFormat="false" ht="15" hidden="false" customHeight="true" outlineLevel="0" collapsed="false">
      <c r="H154" s="1" t="str">
        <f aca="false">IF(LEFT(UPPER(Datos_Crudos!I154),3)="TEC","Tecnología",IF(UPPER(Datos_Crudos!I154)="HOGAR","Hogar","Oficina"))</f>
        <v>Hogar</v>
      </c>
    </row>
    <row r="155" customFormat="false" ht="15" hidden="false" customHeight="true" outlineLevel="0" collapsed="false">
      <c r="H155" s="1" t="str">
        <f aca="false">IF(LEFT(UPPER(Datos_Crudos!I155),3)="TEC","Tecnología",IF(UPPER(Datos_Crudos!I155)="HOGAR","Hogar","Oficina"))</f>
        <v>Tecnología</v>
      </c>
    </row>
    <row r="156" customFormat="false" ht="15" hidden="false" customHeight="true" outlineLevel="0" collapsed="false">
      <c r="H156" s="1" t="str">
        <f aca="false">IF(LEFT(UPPER(Datos_Crudos!I156),3)="TEC","Tecnología",IF(UPPER(Datos_Crudos!I156)="HOGAR","Hogar","Oficina"))</f>
        <v>Tecnología</v>
      </c>
    </row>
    <row r="157" customFormat="false" ht="15" hidden="false" customHeight="true" outlineLevel="0" collapsed="false">
      <c r="H157" s="1" t="str">
        <f aca="false">IF(LEFT(UPPER(Datos_Crudos!I157),3)="TEC","Tecnología",IF(UPPER(Datos_Crudos!I157)="HOGAR","Hogar","Oficina"))</f>
        <v>Oficina</v>
      </c>
    </row>
    <row r="158" customFormat="false" ht="15" hidden="false" customHeight="true" outlineLevel="0" collapsed="false">
      <c r="H158" s="1" t="str">
        <f aca="false">IF(LEFT(UPPER(Datos_Crudos!I158),3)="TEC","Tecnología",IF(UPPER(Datos_Crudos!I158)="HOGAR","Hogar","Oficina"))</f>
        <v>Hogar</v>
      </c>
    </row>
    <row r="159" customFormat="false" ht="15" hidden="false" customHeight="true" outlineLevel="0" collapsed="false">
      <c r="H159" s="1" t="str">
        <f aca="false">IF(LEFT(UPPER(Datos_Crudos!I159),3)="TEC","Tecnología",IF(UPPER(Datos_Crudos!I159)="HOGAR","Hogar","Oficina"))</f>
        <v>Tecnología</v>
      </c>
    </row>
    <row r="160" customFormat="false" ht="15" hidden="false" customHeight="true" outlineLevel="0" collapsed="false">
      <c r="H160" s="1" t="str">
        <f aca="false">IF(LEFT(UPPER(Datos_Crudos!I160),3)="TEC","Tecnología",IF(UPPER(Datos_Crudos!I160)="HOGAR","Hogar","Oficina"))</f>
        <v>Tecnología</v>
      </c>
    </row>
    <row r="161" customFormat="false" ht="15" hidden="false" customHeight="true" outlineLevel="0" collapsed="false">
      <c r="H161" s="1" t="str">
        <f aca="false">IF(LEFT(UPPER(Datos_Crudos!I161),3)="TEC","Tecnología",IF(UPPER(Datos_Crudos!I161)="HOGAR","Hogar","Oficina"))</f>
        <v>Oficina</v>
      </c>
    </row>
    <row r="162" customFormat="false" ht="15" hidden="false" customHeight="true" outlineLevel="0" collapsed="false">
      <c r="H162" s="1" t="str">
        <f aca="false">IF(LEFT(UPPER(Datos_Crudos!I162),3)="TEC","Tecnología",IF(UPPER(Datos_Crudos!I162)="HOGAR","Hogar","Oficina"))</f>
        <v>Tecnología</v>
      </c>
    </row>
    <row r="163" customFormat="false" ht="15" hidden="false" customHeight="true" outlineLevel="0" collapsed="false">
      <c r="H163" s="1" t="str">
        <f aca="false">IF(LEFT(UPPER(Datos_Crudos!I163),3)="TEC","Tecnología",IF(UPPER(Datos_Crudos!I163)="HOGAR","Hogar","Oficina"))</f>
        <v>Tecnología</v>
      </c>
    </row>
    <row r="164" customFormat="false" ht="15" hidden="false" customHeight="true" outlineLevel="0" collapsed="false">
      <c r="H164" s="1" t="str">
        <f aca="false">IF(LEFT(UPPER(Datos_Crudos!I164),3)="TEC","Tecnología",IF(UPPER(Datos_Crudos!I164)="HOGAR","Hogar","Oficina"))</f>
        <v>Tecnología</v>
      </c>
    </row>
    <row r="165" customFormat="false" ht="15" hidden="false" customHeight="true" outlineLevel="0" collapsed="false">
      <c r="H165" s="1" t="str">
        <f aca="false">IF(LEFT(UPPER(Datos_Crudos!I165),3)="TEC","Tecnología",IF(UPPER(Datos_Crudos!I165)="HOGAR","Hogar","Oficina"))</f>
        <v>Oficina</v>
      </c>
    </row>
    <row r="166" customFormat="false" ht="15" hidden="false" customHeight="true" outlineLevel="0" collapsed="false">
      <c r="H166" s="1" t="str">
        <f aca="false">IF(LEFT(UPPER(Datos_Crudos!I166),3)="TEC","Tecnología",IF(UPPER(Datos_Crudos!I166)="HOGAR","Hogar","Oficina"))</f>
        <v>Hogar</v>
      </c>
    </row>
    <row r="167" customFormat="false" ht="15" hidden="false" customHeight="true" outlineLevel="0" collapsed="false">
      <c r="H167" s="1" t="str">
        <f aca="false">IF(LEFT(UPPER(Datos_Crudos!I167),3)="TEC","Tecnología",IF(UPPER(Datos_Crudos!I167)="HOGAR","Hogar","Oficina"))</f>
        <v>Tecnología</v>
      </c>
    </row>
    <row r="168" customFormat="false" ht="15" hidden="false" customHeight="true" outlineLevel="0" collapsed="false">
      <c r="H168" s="1" t="str">
        <f aca="false">IF(LEFT(UPPER(Datos_Crudos!I168),3)="TEC","Tecnología",IF(UPPER(Datos_Crudos!I168)="HOGAR","Hogar","Oficina"))</f>
        <v>Hogar</v>
      </c>
    </row>
    <row r="169" customFormat="false" ht="15" hidden="false" customHeight="true" outlineLevel="0" collapsed="false">
      <c r="H169" s="1" t="str">
        <f aca="false">IF(LEFT(UPPER(Datos_Crudos!I169),3)="TEC","Tecnología",IF(UPPER(Datos_Crudos!I169)="HOGAR","Hogar","Oficina"))</f>
        <v>Hogar</v>
      </c>
    </row>
    <row r="170" customFormat="false" ht="15" hidden="false" customHeight="true" outlineLevel="0" collapsed="false">
      <c r="H170" s="1" t="str">
        <f aca="false">IF(LEFT(UPPER(Datos_Crudos!I170),3)="TEC","Tecnología",IF(UPPER(Datos_Crudos!I170)="HOGAR","Hogar","Oficina"))</f>
        <v>Tecnología</v>
      </c>
    </row>
    <row r="171" customFormat="false" ht="15" hidden="false" customHeight="true" outlineLevel="0" collapsed="false">
      <c r="H171" s="1" t="str">
        <f aca="false">IF(LEFT(UPPER(Datos_Crudos!I171),3)="TEC","Tecnología",IF(UPPER(Datos_Crudos!I171)="HOGAR","Hogar","Oficina"))</f>
        <v>Tecnología</v>
      </c>
    </row>
    <row r="172" customFormat="false" ht="15" hidden="false" customHeight="true" outlineLevel="0" collapsed="false">
      <c r="H172" s="1" t="str">
        <f aca="false">IF(LEFT(UPPER(Datos_Crudos!I172),3)="TEC","Tecnología",IF(UPPER(Datos_Crudos!I172)="HOGAR","Hogar","Oficina"))</f>
        <v>Oficina</v>
      </c>
    </row>
    <row r="173" customFormat="false" ht="15" hidden="false" customHeight="true" outlineLevel="0" collapsed="false">
      <c r="H173" s="1" t="str">
        <f aca="false">IF(LEFT(UPPER(Datos_Crudos!I173),3)="TEC","Tecnología",IF(UPPER(Datos_Crudos!I173)="HOGAR","Hogar","Oficina"))</f>
        <v>Tecnología</v>
      </c>
    </row>
    <row r="174" customFormat="false" ht="15" hidden="false" customHeight="true" outlineLevel="0" collapsed="false">
      <c r="H174" s="1" t="str">
        <f aca="false">IF(LEFT(UPPER(Datos_Crudos!I174),3)="TEC","Tecnología",IF(UPPER(Datos_Crudos!I174)="HOGAR","Hogar","Oficina"))</f>
        <v>Tecnología</v>
      </c>
    </row>
    <row r="175" customFormat="false" ht="15" hidden="false" customHeight="true" outlineLevel="0" collapsed="false">
      <c r="H175" s="1" t="str">
        <f aca="false">IF(LEFT(UPPER(Datos_Crudos!I175),3)="TEC","Tecnología",IF(UPPER(Datos_Crudos!I175)="HOGAR","Hogar","Oficina"))</f>
        <v>Hogar</v>
      </c>
    </row>
    <row r="176" customFormat="false" ht="15" hidden="false" customHeight="true" outlineLevel="0" collapsed="false">
      <c r="H176" s="1" t="str">
        <f aca="false">IF(LEFT(UPPER(Datos_Crudos!I176),3)="TEC","Tecnología",IF(UPPER(Datos_Crudos!I176)="HOGAR","Hogar","Oficina"))</f>
        <v>Tecnología</v>
      </c>
    </row>
    <row r="177" customFormat="false" ht="15" hidden="false" customHeight="true" outlineLevel="0" collapsed="false">
      <c r="H177" s="1" t="str">
        <f aca="false">IF(LEFT(UPPER(Datos_Crudos!I177),3)="TEC","Tecnología",IF(UPPER(Datos_Crudos!I177)="HOGAR","Hogar","Oficina"))</f>
        <v>Tecnología</v>
      </c>
    </row>
    <row r="178" customFormat="false" ht="15" hidden="false" customHeight="true" outlineLevel="0" collapsed="false">
      <c r="H178" s="1" t="str">
        <f aca="false">IF(LEFT(UPPER(Datos_Crudos!I178),3)="TEC","Tecnología",IF(UPPER(Datos_Crudos!I178)="HOGAR","Hogar","Oficina"))</f>
        <v>Oficina</v>
      </c>
    </row>
    <row r="179" customFormat="false" ht="15" hidden="false" customHeight="true" outlineLevel="0" collapsed="false">
      <c r="H179" s="1" t="str">
        <f aca="false">IF(LEFT(UPPER(Datos_Crudos!I179),3)="TEC","Tecnología",IF(UPPER(Datos_Crudos!I179)="HOGAR","Hogar","Oficina"))</f>
        <v>Tecnología</v>
      </c>
    </row>
    <row r="180" customFormat="false" ht="15" hidden="false" customHeight="true" outlineLevel="0" collapsed="false">
      <c r="H180" s="1" t="str">
        <f aca="false">IF(LEFT(UPPER(Datos_Crudos!I180),3)="TEC","Tecnología",IF(UPPER(Datos_Crudos!I180)="HOGAR","Hogar","Oficina"))</f>
        <v>Tecnología</v>
      </c>
    </row>
    <row r="181" customFormat="false" ht="15" hidden="false" customHeight="true" outlineLevel="0" collapsed="false">
      <c r="H181" s="1" t="str">
        <f aca="false">IF(LEFT(UPPER(Datos_Crudos!I181),3)="TEC","Tecnología",IF(UPPER(Datos_Crudos!I181)="HOGAR","Hogar","Oficina"))</f>
        <v>Tecnología</v>
      </c>
    </row>
    <row r="182" customFormat="false" ht="15" hidden="false" customHeight="true" outlineLevel="0" collapsed="false">
      <c r="H182" s="1" t="str">
        <f aca="false">IF(LEFT(UPPER(Datos_Crudos!I182),3)="TEC","Tecnología",IF(UPPER(Datos_Crudos!I182)="HOGAR","Hogar","Oficina"))</f>
        <v>Tecnología</v>
      </c>
    </row>
    <row r="183" customFormat="false" ht="15" hidden="false" customHeight="true" outlineLevel="0" collapsed="false">
      <c r="H183" s="1" t="str">
        <f aca="false">IF(LEFT(UPPER(Datos_Crudos!I183),3)="TEC","Tecnología",IF(UPPER(Datos_Crudos!I183)="HOGAR","Hogar","Oficina"))</f>
        <v>Oficina</v>
      </c>
    </row>
    <row r="184" customFormat="false" ht="15" hidden="false" customHeight="true" outlineLevel="0" collapsed="false">
      <c r="H184" s="1" t="str">
        <f aca="false">IF(LEFT(UPPER(Datos_Crudos!I184),3)="TEC","Tecnología",IF(UPPER(Datos_Crudos!I184)="HOGAR","Hogar","Oficina"))</f>
        <v>Tecnología</v>
      </c>
    </row>
    <row r="185" customFormat="false" ht="15" hidden="false" customHeight="true" outlineLevel="0" collapsed="false">
      <c r="H185" s="1" t="str">
        <f aca="false">IF(LEFT(UPPER(Datos_Crudos!I185),3)="TEC","Tecnología",IF(UPPER(Datos_Crudos!I185)="HOGAR","Hogar","Oficina"))</f>
        <v>Tecnología</v>
      </c>
    </row>
    <row r="186" customFormat="false" ht="15" hidden="false" customHeight="true" outlineLevel="0" collapsed="false">
      <c r="H186" s="1" t="str">
        <f aca="false">IF(LEFT(UPPER(Datos_Crudos!I186),3)="TEC","Tecnología",IF(UPPER(Datos_Crudos!I186)="HOGAR","Hogar","Oficina"))</f>
        <v>Tecnología</v>
      </c>
    </row>
    <row r="187" customFormat="false" ht="15" hidden="false" customHeight="true" outlineLevel="0" collapsed="false">
      <c r="H187" s="1" t="str">
        <f aca="false">IF(LEFT(UPPER(Datos_Crudos!I187),3)="TEC","Tecnología",IF(UPPER(Datos_Crudos!I187)="HOGAR","Hogar","Oficina"))</f>
        <v>Tecnología</v>
      </c>
    </row>
    <row r="188" customFormat="false" ht="15" hidden="false" customHeight="true" outlineLevel="0" collapsed="false">
      <c r="H188" s="1" t="str">
        <f aca="false">IF(LEFT(UPPER(Datos_Crudos!I188),3)="TEC","Tecnología",IF(UPPER(Datos_Crudos!I188)="HOGAR","Hogar","Oficina"))</f>
        <v>Oficina</v>
      </c>
    </row>
    <row r="189" customFormat="false" ht="15" hidden="false" customHeight="true" outlineLevel="0" collapsed="false">
      <c r="H189" s="1" t="str">
        <f aca="false">IF(LEFT(UPPER(Datos_Crudos!I189),3)="TEC","Tecnología",IF(UPPER(Datos_Crudos!I189)="HOGAR","Hogar","Oficina"))</f>
        <v>Oficina</v>
      </c>
    </row>
    <row r="190" customFormat="false" ht="15" hidden="false" customHeight="true" outlineLevel="0" collapsed="false">
      <c r="H190" s="1" t="str">
        <f aca="false">IF(LEFT(UPPER(Datos_Crudos!I190),3)="TEC","Tecnología",IF(UPPER(Datos_Crudos!I190)="HOGAR","Hogar","Oficina"))</f>
        <v>Tecnología</v>
      </c>
    </row>
    <row r="191" customFormat="false" ht="15" hidden="false" customHeight="true" outlineLevel="0" collapsed="false">
      <c r="H191" s="1" t="str">
        <f aca="false">IF(LEFT(UPPER(Datos_Crudos!I191),3)="TEC","Tecnología",IF(UPPER(Datos_Crudos!I191)="HOGAR","Hogar","Oficina"))</f>
        <v>Oficina</v>
      </c>
    </row>
    <row r="192" customFormat="false" ht="15" hidden="false" customHeight="true" outlineLevel="0" collapsed="false">
      <c r="H192" s="1" t="str">
        <f aca="false">IF(LEFT(UPPER(Datos_Crudos!I192),3)="TEC","Tecnología",IF(UPPER(Datos_Crudos!I192)="HOGAR","Hogar","Oficina"))</f>
        <v>Oficina</v>
      </c>
    </row>
    <row r="193" customFormat="false" ht="15" hidden="false" customHeight="true" outlineLevel="0" collapsed="false">
      <c r="H193" s="1" t="str">
        <f aca="false">IF(LEFT(UPPER(Datos_Crudos!I193),3)="TEC","Tecnología",IF(UPPER(Datos_Crudos!I193)="HOGAR","Hogar","Oficina"))</f>
        <v>Oficina</v>
      </c>
    </row>
    <row r="194" customFormat="false" ht="15" hidden="false" customHeight="true" outlineLevel="0" collapsed="false">
      <c r="H194" s="1" t="str">
        <f aca="false">IF(LEFT(UPPER(Datos_Crudos!I194),3)="TEC","Tecnología",IF(UPPER(Datos_Crudos!I194)="HOGAR","Hogar","Oficina"))</f>
        <v>Tecnología</v>
      </c>
    </row>
    <row r="195" customFormat="false" ht="15" hidden="false" customHeight="true" outlineLevel="0" collapsed="false">
      <c r="H195" s="1" t="str">
        <f aca="false">IF(LEFT(UPPER(Datos_Crudos!I195),3)="TEC","Tecnología",IF(UPPER(Datos_Crudos!I195)="HOGAR","Hogar","Oficina"))</f>
        <v>Oficina</v>
      </c>
    </row>
    <row r="196" customFormat="false" ht="15" hidden="false" customHeight="true" outlineLevel="0" collapsed="false">
      <c r="H196" s="1" t="str">
        <f aca="false">IF(LEFT(UPPER(Datos_Crudos!I196),3)="TEC","Tecnología",IF(UPPER(Datos_Crudos!I196)="HOGAR","Hogar","Oficina"))</f>
        <v>Hogar</v>
      </c>
    </row>
    <row r="197" customFormat="false" ht="15" hidden="false" customHeight="true" outlineLevel="0" collapsed="false">
      <c r="H197" s="1" t="str">
        <f aca="false">IF(LEFT(UPPER(Datos_Crudos!I197),3)="TEC","Tecnología",IF(UPPER(Datos_Crudos!I197)="HOGAR","Hogar","Oficina"))</f>
        <v>Tecnología</v>
      </c>
    </row>
    <row r="198" customFormat="false" ht="15" hidden="false" customHeight="true" outlineLevel="0" collapsed="false">
      <c r="H198" s="1" t="str">
        <f aca="false">IF(LEFT(UPPER(Datos_Crudos!I198),3)="TEC","Tecnología",IF(UPPER(Datos_Crudos!I198)="HOGAR","Hogar","Oficina"))</f>
        <v>Tecnología</v>
      </c>
    </row>
    <row r="199" customFormat="false" ht="15" hidden="false" customHeight="true" outlineLevel="0" collapsed="false">
      <c r="H199" s="1" t="str">
        <f aca="false">IF(LEFT(UPPER(Datos_Crudos!I199),3)="TEC","Tecnología",IF(UPPER(Datos_Crudos!I199)="HOGAR","Hogar","Oficina"))</f>
        <v>Oficina</v>
      </c>
    </row>
    <row r="200" customFormat="false" ht="15" hidden="false" customHeight="true" outlineLevel="0" collapsed="false">
      <c r="H200" s="1" t="str">
        <f aca="false">IF(LEFT(UPPER(Datos_Crudos!I200),3)="TEC","Tecnología",IF(UPPER(Datos_Crudos!I200)="HOGAR","Hogar","Oficina"))</f>
        <v>Tecnología</v>
      </c>
    </row>
    <row r="201" customFormat="false" ht="15" hidden="false" customHeight="true" outlineLevel="0" collapsed="false">
      <c r="H201" s="1" t="str">
        <f aca="false">IF(LEFT(UPPER(Datos_Crudos!I201),3)="TEC","Tecnología",IF(UPPER(Datos_Crudos!I201)="HOGAR","Hogar","Oficina"))</f>
        <v>Tecnología</v>
      </c>
    </row>
    <row r="202" customFormat="false" ht="15" hidden="false" customHeight="true" outlineLevel="0" collapsed="false">
      <c r="H202" s="1" t="str">
        <f aca="false">IF(LEFT(UPPER(Datos_Crudos!I202),3)="TEC","Tecnología",IF(UPPER(Datos_Crudos!I202)="HOGAR","Hogar","Oficina"))</f>
        <v>Tecnología</v>
      </c>
    </row>
    <row r="203" customFormat="false" ht="15" hidden="false" customHeight="true" outlineLevel="0" collapsed="false">
      <c r="H203" s="1" t="str">
        <f aca="false">IF(LEFT(UPPER(Datos_Crudos!I203),3)="TEC","Tecnología",IF(UPPER(Datos_Crudos!I203)="HOGAR","Hogar","Oficina"))</f>
        <v>Tecnología</v>
      </c>
    </row>
    <row r="204" customFormat="false" ht="15" hidden="false" customHeight="true" outlineLevel="0" collapsed="false">
      <c r="H204" s="1" t="str">
        <f aca="false">IF(LEFT(UPPER(Datos_Crudos!I204),3)="TEC","Tecnología",IF(UPPER(Datos_Crudos!I204)="HOGAR","Hogar","Oficina"))</f>
        <v>Oficina</v>
      </c>
    </row>
    <row r="205" customFormat="false" ht="15" hidden="false" customHeight="true" outlineLevel="0" collapsed="false">
      <c r="H205" s="1" t="str">
        <f aca="false">IF(LEFT(UPPER(Datos_Crudos!I205),3)="TEC","Tecnología",IF(UPPER(Datos_Crudos!I205)="HOGAR","Hogar","Oficina"))</f>
        <v>Tecnología</v>
      </c>
    </row>
    <row r="206" customFormat="false" ht="15" hidden="false" customHeight="true" outlineLevel="0" collapsed="false">
      <c r="H206" s="1" t="str">
        <f aca="false">IF(LEFT(UPPER(Datos_Crudos!I206),3)="TEC","Tecnología",IF(UPPER(Datos_Crudos!I206)="HOGAR","Hogar","Oficina"))</f>
        <v>Hogar</v>
      </c>
    </row>
    <row r="207" customFormat="false" ht="15" hidden="false" customHeight="true" outlineLevel="0" collapsed="false">
      <c r="H207" s="1" t="str">
        <f aca="false">IF(LEFT(UPPER(Datos_Crudos!I207),3)="TEC","Tecnología",IF(UPPER(Datos_Crudos!I207)="HOGAR","Hogar","Oficina"))</f>
        <v>Tecnología</v>
      </c>
    </row>
    <row r="208" customFormat="false" ht="15" hidden="false" customHeight="true" outlineLevel="0" collapsed="false">
      <c r="H208" s="1" t="str">
        <f aca="false">IF(LEFT(UPPER(Datos_Crudos!I208),3)="TEC","Tecnología",IF(UPPER(Datos_Crudos!I208)="HOGAR","Hogar","Oficina"))</f>
        <v>Oficina</v>
      </c>
    </row>
    <row r="209" customFormat="false" ht="15" hidden="false" customHeight="true" outlineLevel="0" collapsed="false">
      <c r="H209" s="1" t="str">
        <f aca="false">IF(LEFT(UPPER(Datos_Crudos!I209),3)="TEC","Tecnología",IF(UPPER(Datos_Crudos!I209)="HOGAR","Hogar","Oficina"))</f>
        <v>Tecnología</v>
      </c>
    </row>
    <row r="210" customFormat="false" ht="15" hidden="false" customHeight="true" outlineLevel="0" collapsed="false">
      <c r="H210" s="1" t="str">
        <f aca="false">IF(LEFT(UPPER(Datos_Crudos!I210),3)="TEC","Tecnología",IF(UPPER(Datos_Crudos!I210)="HOGAR","Hogar","Oficina"))</f>
        <v>Hogar</v>
      </c>
    </row>
    <row r="211" customFormat="false" ht="15" hidden="false" customHeight="true" outlineLevel="0" collapsed="false">
      <c r="H211" s="1" t="str">
        <f aca="false">IF(LEFT(UPPER(Datos_Crudos!I211),3)="TEC","Tecnología",IF(UPPER(Datos_Crudos!I211)="HOGAR","Hogar","Oficina"))</f>
        <v>Oficina</v>
      </c>
    </row>
    <row r="212" customFormat="false" ht="15" hidden="false" customHeight="true" outlineLevel="0" collapsed="false">
      <c r="H212" s="1" t="str">
        <f aca="false">IF(LEFT(UPPER(Datos_Crudos!I212),3)="TEC","Tecnología",IF(UPPER(Datos_Crudos!I212)="HOGAR","Hogar","Oficina"))</f>
        <v>Hogar</v>
      </c>
    </row>
    <row r="213" customFormat="false" ht="15" hidden="false" customHeight="true" outlineLevel="0" collapsed="false">
      <c r="H213" s="1" t="str">
        <f aca="false">IF(LEFT(UPPER(Datos_Crudos!I213),3)="TEC","Tecnología",IF(UPPER(Datos_Crudos!I213)="HOGAR","Hogar","Oficina"))</f>
        <v>Oficina</v>
      </c>
    </row>
    <row r="214" customFormat="false" ht="15" hidden="false" customHeight="true" outlineLevel="0" collapsed="false">
      <c r="H214" s="1" t="str">
        <f aca="false">IF(LEFT(UPPER(Datos_Crudos!I214),3)="TEC","Tecnología",IF(UPPER(Datos_Crudos!I214)="HOGAR","Hogar","Oficina"))</f>
        <v>Tecnología</v>
      </c>
    </row>
    <row r="215" customFormat="false" ht="15" hidden="false" customHeight="true" outlineLevel="0" collapsed="false">
      <c r="H215" s="1" t="str">
        <f aca="false">IF(LEFT(UPPER(Datos_Crudos!I215),3)="TEC","Tecnología",IF(UPPER(Datos_Crudos!I215)="HOGAR","Hogar","Oficina"))</f>
        <v>Oficina</v>
      </c>
    </row>
    <row r="216" customFormat="false" ht="15" hidden="false" customHeight="true" outlineLevel="0" collapsed="false">
      <c r="H216" s="1" t="str">
        <f aca="false">IF(LEFT(UPPER(Datos_Crudos!I216),3)="TEC","Tecnología",IF(UPPER(Datos_Crudos!I216)="HOGAR","Hogar","Oficina"))</f>
        <v>Oficina</v>
      </c>
    </row>
    <row r="217" customFormat="false" ht="15" hidden="false" customHeight="true" outlineLevel="0" collapsed="false">
      <c r="H217" s="1" t="str">
        <f aca="false">IF(LEFT(UPPER(Datos_Crudos!I217),3)="TEC","Tecnología",IF(UPPER(Datos_Crudos!I217)="HOGAR","Hogar","Oficina"))</f>
        <v>Oficina</v>
      </c>
    </row>
    <row r="218" customFormat="false" ht="15" hidden="false" customHeight="true" outlineLevel="0" collapsed="false">
      <c r="H218" s="1" t="str">
        <f aca="false">IF(LEFT(UPPER(Datos_Crudos!I218),3)="TEC","Tecnología",IF(UPPER(Datos_Crudos!I218)="HOGAR","Hogar","Oficina"))</f>
        <v>Tecnología</v>
      </c>
    </row>
    <row r="219" customFormat="false" ht="15" hidden="false" customHeight="true" outlineLevel="0" collapsed="false">
      <c r="H219" s="1" t="str">
        <f aca="false">IF(LEFT(UPPER(Datos_Crudos!I219),3)="TEC","Tecnología",IF(UPPER(Datos_Crudos!I219)="HOGAR","Hogar","Oficina"))</f>
        <v>Tecnología</v>
      </c>
    </row>
    <row r="220" customFormat="false" ht="15" hidden="false" customHeight="true" outlineLevel="0" collapsed="false">
      <c r="H220" s="1" t="str">
        <f aca="false">IF(LEFT(UPPER(Datos_Crudos!I220),3)="TEC","Tecnología",IF(UPPER(Datos_Crudos!I220)="HOGAR","Hogar","Oficina"))</f>
        <v>Oficina</v>
      </c>
    </row>
    <row r="221" customFormat="false" ht="15" hidden="false" customHeight="true" outlineLevel="0" collapsed="false">
      <c r="H221" s="1" t="str">
        <f aca="false">IF(LEFT(UPPER(Datos_Crudos!I221),3)="TEC","Tecnología",IF(UPPER(Datos_Crudos!I221)="HOGAR","Hogar","Oficina"))</f>
        <v>Hogar</v>
      </c>
    </row>
    <row r="222" customFormat="false" ht="15" hidden="false" customHeight="true" outlineLevel="0" collapsed="false">
      <c r="H222" s="1" t="str">
        <f aca="false">IF(LEFT(UPPER(Datos_Crudos!I222),3)="TEC","Tecnología",IF(UPPER(Datos_Crudos!I222)="HOGAR","Hogar","Oficina"))</f>
        <v>Hogar</v>
      </c>
    </row>
    <row r="223" customFormat="false" ht="15" hidden="false" customHeight="true" outlineLevel="0" collapsed="false">
      <c r="H223" s="1" t="str">
        <f aca="false">IF(LEFT(UPPER(Datos_Crudos!I223),3)="TEC","Tecnología",IF(UPPER(Datos_Crudos!I223)="HOGAR","Hogar","Oficina"))</f>
        <v>Oficina</v>
      </c>
    </row>
    <row r="224" customFormat="false" ht="15" hidden="false" customHeight="true" outlineLevel="0" collapsed="false">
      <c r="H224" s="1" t="str">
        <f aca="false">IF(LEFT(UPPER(Datos_Crudos!I224),3)="TEC","Tecnología",IF(UPPER(Datos_Crudos!I224)="HOGAR","Hogar","Oficina"))</f>
        <v>Tecnología</v>
      </c>
    </row>
    <row r="225" customFormat="false" ht="15" hidden="false" customHeight="true" outlineLevel="0" collapsed="false">
      <c r="H225" s="1" t="str">
        <f aca="false">IF(LEFT(UPPER(Datos_Crudos!I225),3)="TEC","Tecnología",IF(UPPER(Datos_Crudos!I225)="HOGAR","Hogar","Oficina"))</f>
        <v>Tecnología</v>
      </c>
    </row>
    <row r="226" customFormat="false" ht="15" hidden="false" customHeight="true" outlineLevel="0" collapsed="false">
      <c r="H226" s="1" t="str">
        <f aca="false">IF(LEFT(UPPER(Datos_Crudos!I226),3)="TEC","Tecnología",IF(UPPER(Datos_Crudos!I226)="HOGAR","Hogar","Oficina"))</f>
        <v>Tecnología</v>
      </c>
    </row>
    <row r="227" customFormat="false" ht="15" hidden="false" customHeight="true" outlineLevel="0" collapsed="false">
      <c r="H227" s="1" t="str">
        <f aca="false">IF(LEFT(UPPER(Datos_Crudos!I227),3)="TEC","Tecnología",IF(UPPER(Datos_Crudos!I227)="HOGAR","Hogar","Oficina"))</f>
        <v>Hogar</v>
      </c>
    </row>
    <row r="228" customFormat="false" ht="15" hidden="false" customHeight="true" outlineLevel="0" collapsed="false">
      <c r="H228" s="1" t="str">
        <f aca="false">IF(LEFT(UPPER(Datos_Crudos!I228),3)="TEC","Tecnología",IF(UPPER(Datos_Crudos!I228)="HOGAR","Hogar","Oficina"))</f>
        <v>Hogar</v>
      </c>
    </row>
    <row r="229" customFormat="false" ht="15" hidden="false" customHeight="true" outlineLevel="0" collapsed="false">
      <c r="H229" s="1" t="str">
        <f aca="false">IF(LEFT(UPPER(Datos_Crudos!I229),3)="TEC","Tecnología",IF(UPPER(Datos_Crudos!I229)="HOGAR","Hogar","Oficina"))</f>
        <v>Tecnología</v>
      </c>
    </row>
    <row r="230" customFormat="false" ht="15" hidden="false" customHeight="true" outlineLevel="0" collapsed="false">
      <c r="H230" s="1" t="str">
        <f aca="false">IF(LEFT(UPPER(Datos_Crudos!I230),3)="TEC","Tecnología",IF(UPPER(Datos_Crudos!I230)="HOGAR","Hogar","Oficina"))</f>
        <v>Tecnología</v>
      </c>
    </row>
    <row r="231" customFormat="false" ht="15" hidden="false" customHeight="true" outlineLevel="0" collapsed="false">
      <c r="H231" s="1" t="str">
        <f aca="false">IF(LEFT(UPPER(Datos_Crudos!I231),3)="TEC","Tecnología",IF(UPPER(Datos_Crudos!I231)="HOGAR","Hogar","Oficina"))</f>
        <v>Oficina</v>
      </c>
    </row>
    <row r="232" customFormat="false" ht="15" hidden="false" customHeight="true" outlineLevel="0" collapsed="false">
      <c r="H232" s="1" t="str">
        <f aca="false">IF(LEFT(UPPER(Datos_Crudos!I232),3)="TEC","Tecnología",IF(UPPER(Datos_Crudos!I232)="HOGAR","Hogar","Oficina"))</f>
        <v>Oficina</v>
      </c>
    </row>
    <row r="233" customFormat="false" ht="15" hidden="false" customHeight="true" outlineLevel="0" collapsed="false">
      <c r="H233" s="1" t="str">
        <f aca="false">IF(LEFT(UPPER(Datos_Crudos!I233),3)="TEC","Tecnología",IF(UPPER(Datos_Crudos!I233)="HOGAR","Hogar","Oficina"))</f>
        <v>Tecnología</v>
      </c>
    </row>
    <row r="234" customFormat="false" ht="15" hidden="false" customHeight="true" outlineLevel="0" collapsed="false">
      <c r="H234" s="1" t="str">
        <f aca="false">IF(LEFT(UPPER(Datos_Crudos!I234),3)="TEC","Tecnología",IF(UPPER(Datos_Crudos!I234)="HOGAR","Hogar","Oficina"))</f>
        <v>Oficina</v>
      </c>
    </row>
    <row r="235" customFormat="false" ht="15" hidden="false" customHeight="true" outlineLevel="0" collapsed="false">
      <c r="H235" s="1" t="str">
        <f aca="false">IF(LEFT(UPPER(Datos_Crudos!I235),3)="TEC","Tecnología",IF(UPPER(Datos_Crudos!I235)="HOGAR","Hogar","Oficina"))</f>
        <v>Tecnología</v>
      </c>
    </row>
    <row r="236" customFormat="false" ht="15" hidden="false" customHeight="true" outlineLevel="0" collapsed="false">
      <c r="H236" s="1" t="str">
        <f aca="false">IF(LEFT(UPPER(Datos_Crudos!I236),3)="TEC","Tecnología",IF(UPPER(Datos_Crudos!I236)="HOGAR","Hogar","Oficina"))</f>
        <v>Oficina</v>
      </c>
    </row>
    <row r="237" customFormat="false" ht="15" hidden="false" customHeight="true" outlineLevel="0" collapsed="false">
      <c r="H237" s="1" t="str">
        <f aca="false">IF(LEFT(UPPER(Datos_Crudos!I237),3)="TEC","Tecnología",IF(UPPER(Datos_Crudos!I237)="HOGAR","Hogar","Oficina"))</f>
        <v>Tecnología</v>
      </c>
    </row>
    <row r="238" customFormat="false" ht="15" hidden="false" customHeight="true" outlineLevel="0" collapsed="false">
      <c r="H238" s="1" t="str">
        <f aca="false">IF(LEFT(UPPER(Datos_Crudos!I238),3)="TEC","Tecnología",IF(UPPER(Datos_Crudos!I238)="HOGAR","Hogar","Oficina"))</f>
        <v>Oficina</v>
      </c>
    </row>
    <row r="239" customFormat="false" ht="15" hidden="false" customHeight="true" outlineLevel="0" collapsed="false">
      <c r="H239" s="1" t="str">
        <f aca="false">IF(LEFT(UPPER(Datos_Crudos!I239),3)="TEC","Tecnología",IF(UPPER(Datos_Crudos!I239)="HOGAR","Hogar","Oficina"))</f>
        <v>Tecnología</v>
      </c>
    </row>
    <row r="240" customFormat="false" ht="15" hidden="false" customHeight="true" outlineLevel="0" collapsed="false">
      <c r="H240" s="1" t="str">
        <f aca="false">IF(LEFT(UPPER(Datos_Crudos!I240),3)="TEC","Tecnología",IF(UPPER(Datos_Crudos!I240)="HOGAR","Hogar","Oficina"))</f>
        <v>Tecnología</v>
      </c>
    </row>
    <row r="241" customFormat="false" ht="15" hidden="false" customHeight="true" outlineLevel="0" collapsed="false">
      <c r="H241" s="1" t="str">
        <f aca="false">IF(LEFT(UPPER(Datos_Crudos!I241),3)="TEC","Tecnología",IF(UPPER(Datos_Crudos!I241)="HOGAR","Hogar","Oficina"))</f>
        <v>Oficina</v>
      </c>
    </row>
    <row r="242" customFormat="false" ht="15" hidden="false" customHeight="true" outlineLevel="0" collapsed="false">
      <c r="H242" s="1" t="str">
        <f aca="false">IF(LEFT(UPPER(Datos_Crudos!I242),3)="TEC","Tecnología",IF(UPPER(Datos_Crudos!I242)="HOGAR","Hogar","Oficina"))</f>
        <v>Oficina</v>
      </c>
    </row>
    <row r="243" customFormat="false" ht="15" hidden="false" customHeight="true" outlineLevel="0" collapsed="false">
      <c r="H243" s="1" t="str">
        <f aca="false">IF(LEFT(UPPER(Datos_Crudos!I243),3)="TEC","Tecnología",IF(UPPER(Datos_Crudos!I243)="HOGAR","Hogar","Oficina"))</f>
        <v>Tecnología</v>
      </c>
    </row>
    <row r="244" customFormat="false" ht="15" hidden="false" customHeight="true" outlineLevel="0" collapsed="false">
      <c r="H244" s="1" t="str">
        <f aca="false">IF(LEFT(UPPER(Datos_Crudos!I244),3)="TEC","Tecnología",IF(UPPER(Datos_Crudos!I244)="HOGAR","Hogar","Oficina"))</f>
        <v>Oficina</v>
      </c>
    </row>
    <row r="245" customFormat="false" ht="15" hidden="false" customHeight="true" outlineLevel="0" collapsed="false">
      <c r="H245" s="1" t="str">
        <f aca="false">IF(LEFT(UPPER(Datos_Crudos!I245),3)="TEC","Tecnología",IF(UPPER(Datos_Crudos!I245)="HOGAR","Hogar","Oficina"))</f>
        <v>Tecnología</v>
      </c>
    </row>
    <row r="246" customFormat="false" ht="15" hidden="false" customHeight="true" outlineLevel="0" collapsed="false">
      <c r="H246" s="1" t="str">
        <f aca="false">IF(LEFT(UPPER(Datos_Crudos!I246),3)="TEC","Tecnología",IF(UPPER(Datos_Crudos!I246)="HOGAR","Hogar","Oficina"))</f>
        <v>Hogar</v>
      </c>
    </row>
    <row r="247" customFormat="false" ht="15" hidden="false" customHeight="true" outlineLevel="0" collapsed="false">
      <c r="H247" s="1" t="str">
        <f aca="false">IF(LEFT(UPPER(Datos_Crudos!I247),3)="TEC","Tecnología",IF(UPPER(Datos_Crudos!I247)="HOGAR","Hogar","Oficina"))</f>
        <v>Tecnología</v>
      </c>
    </row>
    <row r="248" customFormat="false" ht="15" hidden="false" customHeight="true" outlineLevel="0" collapsed="false">
      <c r="H248" s="1" t="str">
        <f aca="false">IF(LEFT(UPPER(Datos_Crudos!I248),3)="TEC","Tecnología",IF(UPPER(Datos_Crudos!I248)="HOGAR","Hogar","Oficina"))</f>
        <v>Tecnología</v>
      </c>
    </row>
    <row r="249" customFormat="false" ht="15" hidden="false" customHeight="true" outlineLevel="0" collapsed="false">
      <c r="H249" s="1" t="str">
        <f aca="false">IF(LEFT(UPPER(Datos_Crudos!I249),3)="TEC","Tecnología",IF(UPPER(Datos_Crudos!I249)="HOGAR","Hogar","Oficina"))</f>
        <v>Oficina</v>
      </c>
    </row>
    <row r="250" customFormat="false" ht="15" hidden="false" customHeight="true" outlineLevel="0" collapsed="false">
      <c r="H250" s="1" t="str">
        <f aca="false">IF(LEFT(UPPER(Datos_Crudos!I250),3)="TEC","Tecnología",IF(UPPER(Datos_Crudos!I250)="HOGAR","Hogar","Oficina"))</f>
        <v>Tecnología</v>
      </c>
    </row>
    <row r="251" customFormat="false" ht="15" hidden="false" customHeight="true" outlineLevel="0" collapsed="false">
      <c r="H251" s="1" t="str">
        <f aca="false">IF(LEFT(UPPER(Datos_Crudos!I251),3)="TEC","Tecnología",IF(UPPER(Datos_Crudos!I251)="HOGAR","Hogar","Oficina"))</f>
        <v>Oficina</v>
      </c>
    </row>
    <row r="252" customFormat="false" ht="15" hidden="false" customHeight="true" outlineLevel="0" collapsed="false">
      <c r="H252" s="1" t="str">
        <f aca="false">IF(LEFT(UPPER(Datos_Crudos!I252),3)="TEC","Tecnología",IF(UPPER(Datos_Crudos!I252)="HOGAR","Hogar","Oficina"))</f>
        <v>Tecnología</v>
      </c>
    </row>
    <row r="253" customFormat="false" ht="15" hidden="false" customHeight="true" outlineLevel="0" collapsed="false">
      <c r="H253" s="1" t="str">
        <f aca="false">IF(LEFT(UPPER(Datos_Crudos!I253),3)="TEC","Tecnología",IF(UPPER(Datos_Crudos!I253)="HOGAR","Hogar","Oficina"))</f>
        <v>Hogar</v>
      </c>
    </row>
    <row r="254" customFormat="false" ht="15" hidden="false" customHeight="true" outlineLevel="0" collapsed="false">
      <c r="H254" s="1" t="str">
        <f aca="false">IF(LEFT(UPPER(Datos_Crudos!I254),3)="TEC","Tecnología",IF(UPPER(Datos_Crudos!I254)="HOGAR","Hogar","Oficina"))</f>
        <v>Tecnología</v>
      </c>
    </row>
    <row r="255" customFormat="false" ht="15" hidden="false" customHeight="true" outlineLevel="0" collapsed="false">
      <c r="H255" s="1" t="str">
        <f aca="false">IF(LEFT(UPPER(Datos_Crudos!I255),3)="TEC","Tecnología",IF(UPPER(Datos_Crudos!I255)="HOGAR","Hogar","Oficina"))</f>
        <v>Hogar</v>
      </c>
    </row>
    <row r="256" customFormat="false" ht="15" hidden="false" customHeight="true" outlineLevel="0" collapsed="false">
      <c r="H256" s="1" t="str">
        <f aca="false">IF(LEFT(UPPER(Datos_Crudos!I256),3)="TEC","Tecnología",IF(UPPER(Datos_Crudos!I256)="HOGAR","Hogar","Oficina"))</f>
        <v>Tecnología</v>
      </c>
    </row>
    <row r="257" customFormat="false" ht="15" hidden="false" customHeight="true" outlineLevel="0" collapsed="false">
      <c r="H257" s="1" t="str">
        <f aca="false">IF(LEFT(UPPER(Datos_Crudos!I257),3)="TEC","Tecnología",IF(UPPER(Datos_Crudos!I257)="HOGAR","Hogar","Oficina"))</f>
        <v>Oficina</v>
      </c>
    </row>
    <row r="258" customFormat="false" ht="15" hidden="false" customHeight="true" outlineLevel="0" collapsed="false">
      <c r="H258" s="1" t="str">
        <f aca="false">IF(LEFT(UPPER(Datos_Crudos!I258),3)="TEC","Tecnología",IF(UPPER(Datos_Crudos!I258)="HOGAR","Hogar","Oficina"))</f>
        <v>Tecnología</v>
      </c>
    </row>
    <row r="259" customFormat="false" ht="15" hidden="false" customHeight="true" outlineLevel="0" collapsed="false">
      <c r="H259" s="1" t="str">
        <f aca="false">IF(LEFT(UPPER(Datos_Crudos!I259),3)="TEC","Tecnología",IF(UPPER(Datos_Crudos!I259)="HOGAR","Hogar","Oficina"))</f>
        <v>Tecnología</v>
      </c>
    </row>
    <row r="260" customFormat="false" ht="15" hidden="false" customHeight="true" outlineLevel="0" collapsed="false">
      <c r="H260" s="1" t="str">
        <f aca="false">IF(LEFT(UPPER(Datos_Crudos!I260),3)="TEC","Tecnología",IF(UPPER(Datos_Crudos!I260)="HOGAR","Hogar","Oficina"))</f>
        <v>Tecnología</v>
      </c>
    </row>
    <row r="261" customFormat="false" ht="15" hidden="false" customHeight="true" outlineLevel="0" collapsed="false">
      <c r="H261" s="1" t="str">
        <f aca="false">IF(LEFT(UPPER(Datos_Crudos!I261),3)="TEC","Tecnología",IF(UPPER(Datos_Crudos!I261)="HOGAR","Hogar","Oficina"))</f>
        <v>Oficina</v>
      </c>
    </row>
    <row r="262" customFormat="false" ht="15" hidden="false" customHeight="true" outlineLevel="0" collapsed="false">
      <c r="H262" s="1" t="str">
        <f aca="false">IF(LEFT(UPPER(Datos_Crudos!I262),3)="TEC","Tecnología",IF(UPPER(Datos_Crudos!I262)="HOGAR","Hogar","Oficina"))</f>
        <v>Oficina</v>
      </c>
    </row>
    <row r="263" customFormat="false" ht="15" hidden="false" customHeight="true" outlineLevel="0" collapsed="false">
      <c r="H263" s="1" t="str">
        <f aca="false">IF(LEFT(UPPER(Datos_Crudos!I263),3)="TEC","Tecnología",IF(UPPER(Datos_Crudos!I263)="HOGAR","Hogar","Oficina"))</f>
        <v>Oficina</v>
      </c>
    </row>
    <row r="264" customFormat="false" ht="15" hidden="false" customHeight="true" outlineLevel="0" collapsed="false">
      <c r="H264" s="1" t="str">
        <f aca="false">IF(LEFT(UPPER(Datos_Crudos!I264),3)="TEC","Tecnología",IF(UPPER(Datos_Crudos!I264)="HOGAR","Hogar","Oficina"))</f>
        <v>Oficina</v>
      </c>
    </row>
    <row r="265" customFormat="false" ht="15" hidden="false" customHeight="true" outlineLevel="0" collapsed="false">
      <c r="H265" s="1" t="str">
        <f aca="false">IF(LEFT(UPPER(Datos_Crudos!I265),3)="TEC","Tecnología",IF(UPPER(Datos_Crudos!I265)="HOGAR","Hogar","Oficina"))</f>
        <v>Tecnología</v>
      </c>
    </row>
    <row r="266" customFormat="false" ht="15" hidden="false" customHeight="true" outlineLevel="0" collapsed="false">
      <c r="H266" s="1" t="str">
        <f aca="false">IF(LEFT(UPPER(Datos_Crudos!I266),3)="TEC","Tecnología",IF(UPPER(Datos_Crudos!I266)="HOGAR","Hogar","Oficina"))</f>
        <v>Tecnología</v>
      </c>
    </row>
    <row r="267" customFormat="false" ht="15" hidden="false" customHeight="true" outlineLevel="0" collapsed="false">
      <c r="H267" s="1" t="str">
        <f aca="false">IF(LEFT(UPPER(Datos_Crudos!I267),3)="TEC","Tecnología",IF(UPPER(Datos_Crudos!I267)="HOGAR","Hogar","Oficina"))</f>
        <v>Oficina</v>
      </c>
    </row>
    <row r="268" customFormat="false" ht="15" hidden="false" customHeight="true" outlineLevel="0" collapsed="false">
      <c r="H268" s="1" t="str">
        <f aca="false">IF(LEFT(UPPER(Datos_Crudos!I268),3)="TEC","Tecnología",IF(UPPER(Datos_Crudos!I268)="HOGAR","Hogar","Oficina"))</f>
        <v>Oficina</v>
      </c>
    </row>
    <row r="269" customFormat="false" ht="15" hidden="false" customHeight="true" outlineLevel="0" collapsed="false">
      <c r="H269" s="1" t="str">
        <f aca="false">IF(LEFT(UPPER(Datos_Crudos!I269),3)="TEC","Tecnología",IF(UPPER(Datos_Crudos!I269)="HOGAR","Hogar","Oficina"))</f>
        <v>Oficina</v>
      </c>
    </row>
    <row r="270" customFormat="false" ht="15" hidden="false" customHeight="true" outlineLevel="0" collapsed="false">
      <c r="H270" s="1" t="str">
        <f aca="false">IF(LEFT(UPPER(Datos_Crudos!I270),3)="TEC","Tecnología",IF(UPPER(Datos_Crudos!I270)="HOGAR","Hogar","Oficina"))</f>
        <v>Tecnología</v>
      </c>
    </row>
    <row r="271" customFormat="false" ht="15" hidden="false" customHeight="true" outlineLevel="0" collapsed="false">
      <c r="H271" s="1" t="str">
        <f aca="false">IF(LEFT(UPPER(Datos_Crudos!I271),3)="TEC","Tecnología",IF(UPPER(Datos_Crudos!I271)="HOGAR","Hogar","Oficina"))</f>
        <v>Tecnología</v>
      </c>
    </row>
    <row r="272" customFormat="false" ht="15" hidden="false" customHeight="true" outlineLevel="0" collapsed="false">
      <c r="H272" s="1" t="str">
        <f aca="false">IF(LEFT(UPPER(Datos_Crudos!I272),3)="TEC","Tecnología",IF(UPPER(Datos_Crudos!I272)="HOGAR","Hogar","Oficina"))</f>
        <v>Oficina</v>
      </c>
    </row>
    <row r="273" customFormat="false" ht="15" hidden="false" customHeight="true" outlineLevel="0" collapsed="false">
      <c r="H273" s="1" t="str">
        <f aca="false">IF(LEFT(UPPER(Datos_Crudos!I273),3)="TEC","Tecnología",IF(UPPER(Datos_Crudos!I273)="HOGAR","Hogar","Oficina"))</f>
        <v>Tecnología</v>
      </c>
    </row>
    <row r="274" customFormat="false" ht="15" hidden="false" customHeight="true" outlineLevel="0" collapsed="false">
      <c r="H274" s="1" t="str">
        <f aca="false">IF(LEFT(UPPER(Datos_Crudos!I274),3)="TEC","Tecnología",IF(UPPER(Datos_Crudos!I274)="HOGAR","Hogar","Oficina"))</f>
        <v>Hogar</v>
      </c>
    </row>
    <row r="275" customFormat="false" ht="15" hidden="false" customHeight="true" outlineLevel="0" collapsed="false">
      <c r="H275" s="1" t="str">
        <f aca="false">IF(LEFT(UPPER(Datos_Crudos!I275),3)="TEC","Tecnología",IF(UPPER(Datos_Crudos!I275)="HOGAR","Hogar","Oficina"))</f>
        <v>Oficina</v>
      </c>
    </row>
    <row r="276" customFormat="false" ht="15" hidden="false" customHeight="true" outlineLevel="0" collapsed="false">
      <c r="H276" s="1" t="str">
        <f aca="false">IF(LEFT(UPPER(Datos_Crudos!I276),3)="TEC","Tecnología",IF(UPPER(Datos_Crudos!I276)="HOGAR","Hogar","Oficina"))</f>
        <v>Tecnología</v>
      </c>
    </row>
    <row r="277" customFormat="false" ht="15" hidden="false" customHeight="true" outlineLevel="0" collapsed="false">
      <c r="H277" s="1" t="str">
        <f aca="false">IF(LEFT(UPPER(Datos_Crudos!I277),3)="TEC","Tecnología",IF(UPPER(Datos_Crudos!I277)="HOGAR","Hogar","Oficina"))</f>
        <v>Tecnología</v>
      </c>
    </row>
    <row r="278" customFormat="false" ht="15" hidden="false" customHeight="true" outlineLevel="0" collapsed="false">
      <c r="H278" s="1" t="str">
        <f aca="false">IF(LEFT(UPPER(Datos_Crudos!I278),3)="TEC","Tecnología",IF(UPPER(Datos_Crudos!I278)="HOGAR","Hogar","Oficina"))</f>
        <v>Tecnología</v>
      </c>
    </row>
    <row r="279" customFormat="false" ht="15" hidden="false" customHeight="true" outlineLevel="0" collapsed="false">
      <c r="H279" s="1" t="str">
        <f aca="false">IF(LEFT(UPPER(Datos_Crudos!I279),3)="TEC","Tecnología",IF(UPPER(Datos_Crudos!I279)="HOGAR","Hogar","Oficina"))</f>
        <v>Tecnología</v>
      </c>
    </row>
    <row r="280" customFormat="false" ht="15" hidden="false" customHeight="true" outlineLevel="0" collapsed="false">
      <c r="H280" s="1" t="str">
        <f aca="false">IF(LEFT(UPPER(Datos_Crudos!I280),3)="TEC","Tecnología",IF(UPPER(Datos_Crudos!I280)="HOGAR","Hogar","Oficina"))</f>
        <v>Oficina</v>
      </c>
    </row>
    <row r="281" customFormat="false" ht="15" hidden="false" customHeight="true" outlineLevel="0" collapsed="false">
      <c r="H281" s="1" t="str">
        <f aca="false">IF(LEFT(UPPER(Datos_Crudos!I281),3)="TEC","Tecnología",IF(UPPER(Datos_Crudos!I281)="HOGAR","Hogar","Oficina"))</f>
        <v>Hogar</v>
      </c>
    </row>
    <row r="282" customFormat="false" ht="15" hidden="false" customHeight="true" outlineLevel="0" collapsed="false">
      <c r="H282" s="1" t="str">
        <f aca="false">IF(LEFT(UPPER(Datos_Crudos!I282),3)="TEC","Tecnología",IF(UPPER(Datos_Crudos!I282)="HOGAR","Hogar","Oficina"))</f>
        <v>Tecnología</v>
      </c>
    </row>
    <row r="283" customFormat="false" ht="15" hidden="false" customHeight="true" outlineLevel="0" collapsed="false">
      <c r="H283" s="1" t="str">
        <f aca="false">IF(LEFT(UPPER(Datos_Crudos!I283),3)="TEC","Tecnología",IF(UPPER(Datos_Crudos!I283)="HOGAR","Hogar","Oficina"))</f>
        <v>Tecnología</v>
      </c>
    </row>
    <row r="284" customFormat="false" ht="15" hidden="false" customHeight="true" outlineLevel="0" collapsed="false">
      <c r="H284" s="1" t="str">
        <f aca="false">IF(LEFT(UPPER(Datos_Crudos!I284),3)="TEC","Tecnología",IF(UPPER(Datos_Crudos!I284)="HOGAR","Hogar","Oficina"))</f>
        <v>Tecnología</v>
      </c>
    </row>
    <row r="285" customFormat="false" ht="15" hidden="false" customHeight="true" outlineLevel="0" collapsed="false">
      <c r="H285" s="1" t="str">
        <f aca="false">IF(LEFT(UPPER(Datos_Crudos!I285),3)="TEC","Tecnología",IF(UPPER(Datos_Crudos!I285)="HOGAR","Hogar","Oficina"))</f>
        <v>Tecnología</v>
      </c>
    </row>
    <row r="286" customFormat="false" ht="15" hidden="false" customHeight="true" outlineLevel="0" collapsed="false">
      <c r="H286" s="1" t="str">
        <f aca="false">IF(LEFT(UPPER(Datos_Crudos!I286),3)="TEC","Tecnología",IF(UPPER(Datos_Crudos!I286)="HOGAR","Hogar","Oficina"))</f>
        <v>Tecnología</v>
      </c>
    </row>
    <row r="287" customFormat="false" ht="15" hidden="false" customHeight="true" outlineLevel="0" collapsed="false">
      <c r="H287" s="1" t="str">
        <f aca="false">IF(LEFT(UPPER(Datos_Crudos!I287),3)="TEC","Tecnología",IF(UPPER(Datos_Crudos!I287)="HOGAR","Hogar","Oficina"))</f>
        <v>Tecnología</v>
      </c>
    </row>
    <row r="288" customFormat="false" ht="15" hidden="false" customHeight="true" outlineLevel="0" collapsed="false">
      <c r="H288" s="1" t="str">
        <f aca="false">IF(LEFT(UPPER(Datos_Crudos!I288),3)="TEC","Tecnología",IF(UPPER(Datos_Crudos!I288)="HOGAR","Hogar","Oficina"))</f>
        <v>Hogar</v>
      </c>
    </row>
    <row r="289" customFormat="false" ht="15" hidden="false" customHeight="true" outlineLevel="0" collapsed="false">
      <c r="H289" s="1" t="str">
        <f aca="false">IF(LEFT(UPPER(Datos_Crudos!I289),3)="TEC","Tecnología",IF(UPPER(Datos_Crudos!I289)="HOGAR","Hogar","Oficina"))</f>
        <v>Oficina</v>
      </c>
    </row>
    <row r="290" customFormat="false" ht="15" hidden="false" customHeight="true" outlineLevel="0" collapsed="false">
      <c r="H290" s="1" t="str">
        <f aca="false">IF(LEFT(UPPER(Datos_Crudos!I290),3)="TEC","Tecnología",IF(UPPER(Datos_Crudos!I290)="HOGAR","Hogar","Oficina"))</f>
        <v>Tecnología</v>
      </c>
    </row>
    <row r="291" customFormat="false" ht="15" hidden="false" customHeight="true" outlineLevel="0" collapsed="false">
      <c r="H291" s="1" t="str">
        <f aca="false">IF(LEFT(UPPER(Datos_Crudos!I291),3)="TEC","Tecnología",IF(UPPER(Datos_Crudos!I291)="HOGAR","Hogar","Oficina"))</f>
        <v>Oficina</v>
      </c>
    </row>
    <row r="292" customFormat="false" ht="15" hidden="false" customHeight="true" outlineLevel="0" collapsed="false">
      <c r="H292" s="1" t="str">
        <f aca="false">IF(LEFT(UPPER(Datos_Crudos!I292),3)="TEC","Tecnología",IF(UPPER(Datos_Crudos!I292)="HOGAR","Hogar","Oficina"))</f>
        <v>Tecnología</v>
      </c>
    </row>
    <row r="293" customFormat="false" ht="15" hidden="false" customHeight="true" outlineLevel="0" collapsed="false">
      <c r="H293" s="1" t="str">
        <f aca="false">IF(LEFT(UPPER(Datos_Crudos!I293),3)="TEC","Tecnología",IF(UPPER(Datos_Crudos!I293)="HOGAR","Hogar","Oficina"))</f>
        <v>Tecnología</v>
      </c>
    </row>
    <row r="294" customFormat="false" ht="15" hidden="false" customHeight="true" outlineLevel="0" collapsed="false">
      <c r="H294" s="1" t="str">
        <f aca="false">IF(LEFT(UPPER(Datos_Crudos!I294),3)="TEC","Tecnología",IF(UPPER(Datos_Crudos!I294)="HOGAR","Hogar","Oficina"))</f>
        <v>Tecnología</v>
      </c>
    </row>
    <row r="295" customFormat="false" ht="15" hidden="false" customHeight="true" outlineLevel="0" collapsed="false">
      <c r="H295" s="1" t="str">
        <f aca="false">IF(LEFT(UPPER(Datos_Crudos!I295),3)="TEC","Tecnología",IF(UPPER(Datos_Crudos!I295)="HOGAR","Hogar","Oficina"))</f>
        <v>Hogar</v>
      </c>
    </row>
    <row r="296" customFormat="false" ht="15" hidden="false" customHeight="true" outlineLevel="0" collapsed="false">
      <c r="H296" s="1" t="str">
        <f aca="false">IF(LEFT(UPPER(Datos_Crudos!I296),3)="TEC","Tecnología",IF(UPPER(Datos_Crudos!I296)="HOGAR","Hogar","Oficina"))</f>
        <v>Tecnología</v>
      </c>
    </row>
    <row r="297" customFormat="false" ht="15" hidden="false" customHeight="true" outlineLevel="0" collapsed="false">
      <c r="H297" s="1" t="str">
        <f aca="false">IF(LEFT(UPPER(Datos_Crudos!I297),3)="TEC","Tecnología",IF(UPPER(Datos_Crudos!I297)="HOGAR","Hogar","Oficina"))</f>
        <v>Tecnología</v>
      </c>
    </row>
    <row r="298" customFormat="false" ht="15" hidden="false" customHeight="true" outlineLevel="0" collapsed="false">
      <c r="H298" s="1" t="str">
        <f aca="false">IF(LEFT(UPPER(Datos_Crudos!I298),3)="TEC","Tecnología",IF(UPPER(Datos_Crudos!I298)="HOGAR","Hogar","Oficina"))</f>
        <v>Oficina</v>
      </c>
    </row>
    <row r="299" customFormat="false" ht="15" hidden="false" customHeight="true" outlineLevel="0" collapsed="false">
      <c r="H299" s="1" t="str">
        <f aca="false">IF(LEFT(UPPER(Datos_Crudos!I299),3)="TEC","Tecnología",IF(UPPER(Datos_Crudos!I299)="HOGAR","Hogar","Oficina"))</f>
        <v>Tecnología</v>
      </c>
    </row>
    <row r="300" customFormat="false" ht="15" hidden="false" customHeight="true" outlineLevel="0" collapsed="false">
      <c r="H300" s="1" t="str">
        <f aca="false">IF(LEFT(UPPER(Datos_Crudos!I300),3)="TEC","Tecnología",IF(UPPER(Datos_Crudos!I300)="HOGAR","Hogar","Oficina"))</f>
        <v>Hogar</v>
      </c>
    </row>
    <row r="301" customFormat="false" ht="15" hidden="false" customHeight="true" outlineLevel="0" collapsed="false">
      <c r="H301" s="1" t="str">
        <f aca="false">IF(LEFT(UPPER(Datos_Crudos!I301),3)="TEC","Tecnología",IF(UPPER(Datos_Crudos!I301)="HOGAR","Hogar","Oficina"))</f>
        <v>Tecnología</v>
      </c>
    </row>
    <row r="302" customFormat="false" ht="15" hidden="false" customHeight="true" outlineLevel="0" collapsed="false">
      <c r="H302" s="1" t="str">
        <f aca="false">IF(LEFT(UPPER(Datos_Crudos!I302),3)="TEC","Tecnología",IF(UPPER(Datos_Crudos!I302)="HOGAR","Hogar","Oficina"))</f>
        <v>Tecnología</v>
      </c>
    </row>
    <row r="303" customFormat="false" ht="15" hidden="false" customHeight="true" outlineLevel="0" collapsed="false">
      <c r="H303" s="1" t="str">
        <f aca="false">IF(LEFT(UPPER(Datos_Crudos!I303),3)="TEC","Tecnología",IF(UPPER(Datos_Crudos!I303)="HOGAR","Hogar","Oficina"))</f>
        <v>Oficina</v>
      </c>
    </row>
    <row r="304" customFormat="false" ht="15" hidden="false" customHeight="true" outlineLevel="0" collapsed="false">
      <c r="H304" s="1" t="str">
        <f aca="false">IF(LEFT(UPPER(Datos_Crudos!I304),3)="TEC","Tecnología",IF(UPPER(Datos_Crudos!I304)="HOGAR","Hogar","Oficina"))</f>
        <v>Oficina</v>
      </c>
    </row>
    <row r="305" customFormat="false" ht="15" hidden="false" customHeight="true" outlineLevel="0" collapsed="false">
      <c r="H305" s="1" t="str">
        <f aca="false">IF(LEFT(UPPER(Datos_Crudos!I305),3)="TEC","Tecnología",IF(UPPER(Datos_Crudos!I305)="HOGAR","Hogar","Oficina"))</f>
        <v>Tecnología</v>
      </c>
    </row>
    <row r="306" customFormat="false" ht="15" hidden="false" customHeight="true" outlineLevel="0" collapsed="false">
      <c r="H306" s="1" t="str">
        <f aca="false">IF(LEFT(UPPER(Datos_Crudos!I306),3)="TEC","Tecnología",IF(UPPER(Datos_Crudos!I306)="HOGAR","Hogar","Oficina"))</f>
        <v>Tecnología</v>
      </c>
    </row>
    <row r="307" customFormat="false" ht="15" hidden="false" customHeight="true" outlineLevel="0" collapsed="false">
      <c r="H307" s="1" t="str">
        <f aca="false">IF(LEFT(UPPER(Datos_Crudos!I307),3)="TEC","Tecnología",IF(UPPER(Datos_Crudos!I307)="HOGAR","Hogar","Oficina"))</f>
        <v>Hogar</v>
      </c>
    </row>
    <row r="308" customFormat="false" ht="15" hidden="false" customHeight="true" outlineLevel="0" collapsed="false">
      <c r="H308" s="1" t="str">
        <f aca="false">IF(LEFT(UPPER(Datos_Crudos!I308),3)="TEC","Tecnología",IF(UPPER(Datos_Crudos!I308)="HOGAR","Hogar","Oficina"))</f>
        <v>Tecnología</v>
      </c>
    </row>
    <row r="309" customFormat="false" ht="15" hidden="false" customHeight="true" outlineLevel="0" collapsed="false">
      <c r="H309" s="1" t="str">
        <f aca="false">IF(LEFT(UPPER(Datos_Crudos!I309),3)="TEC","Tecnología",IF(UPPER(Datos_Crudos!I309)="HOGAR","Hogar","Oficina"))</f>
        <v>Tecnología</v>
      </c>
    </row>
    <row r="310" customFormat="false" ht="15" hidden="false" customHeight="true" outlineLevel="0" collapsed="false">
      <c r="H310" s="1" t="str">
        <f aca="false">IF(LEFT(UPPER(Datos_Crudos!I310),3)="TEC","Tecnología",IF(UPPER(Datos_Crudos!I310)="HOGAR","Hogar","Oficina"))</f>
        <v>Tecnología</v>
      </c>
    </row>
    <row r="311" customFormat="false" ht="15" hidden="false" customHeight="true" outlineLevel="0" collapsed="false">
      <c r="H311" s="1" t="str">
        <f aca="false">IF(LEFT(UPPER(Datos_Crudos!I311),3)="TEC","Tecnología",IF(UPPER(Datos_Crudos!I311)="HOGAR","Hogar","Oficina"))</f>
        <v>Tecnología</v>
      </c>
    </row>
    <row r="312" customFormat="false" ht="15" hidden="false" customHeight="true" outlineLevel="0" collapsed="false">
      <c r="H312" s="1" t="str">
        <f aca="false">IF(LEFT(UPPER(Datos_Crudos!I312),3)="TEC","Tecnología",IF(UPPER(Datos_Crudos!I312)="HOGAR","Hogar","Oficina"))</f>
        <v>Tecnología</v>
      </c>
    </row>
    <row r="313" customFormat="false" ht="15" hidden="false" customHeight="true" outlineLevel="0" collapsed="false">
      <c r="H313" s="1" t="str">
        <f aca="false">IF(LEFT(UPPER(Datos_Crudos!I313),3)="TEC","Tecnología",IF(UPPER(Datos_Crudos!I313)="HOGAR","Hogar","Oficina"))</f>
        <v>Tecnología</v>
      </c>
    </row>
    <row r="314" customFormat="false" ht="15" hidden="false" customHeight="true" outlineLevel="0" collapsed="false">
      <c r="H314" s="1" t="str">
        <f aca="false">IF(LEFT(UPPER(Datos_Crudos!I314),3)="TEC","Tecnología",IF(UPPER(Datos_Crudos!I314)="HOGAR","Hogar","Oficina"))</f>
        <v>Tecnología</v>
      </c>
    </row>
    <row r="315" customFormat="false" ht="15" hidden="false" customHeight="true" outlineLevel="0" collapsed="false">
      <c r="H315" s="1" t="str">
        <f aca="false">IF(LEFT(UPPER(Datos_Crudos!I315),3)="TEC","Tecnología",IF(UPPER(Datos_Crudos!I315)="HOGAR","Hogar","Oficina"))</f>
        <v>Tecnología</v>
      </c>
    </row>
    <row r="316" customFormat="false" ht="15" hidden="false" customHeight="true" outlineLevel="0" collapsed="false">
      <c r="H316" s="1" t="str">
        <f aca="false">IF(LEFT(UPPER(Datos_Crudos!I316),3)="TEC","Tecnología",IF(UPPER(Datos_Crudos!I316)="HOGAR","Hogar","Oficina"))</f>
        <v>Oficina</v>
      </c>
    </row>
    <row r="317" customFormat="false" ht="15" hidden="false" customHeight="true" outlineLevel="0" collapsed="false">
      <c r="H317" s="1" t="str">
        <f aca="false">IF(LEFT(UPPER(Datos_Crudos!I317),3)="TEC","Tecnología",IF(UPPER(Datos_Crudos!I317)="HOGAR","Hogar","Oficina"))</f>
        <v>Tecnología</v>
      </c>
    </row>
    <row r="318" customFormat="false" ht="15" hidden="false" customHeight="true" outlineLevel="0" collapsed="false">
      <c r="H318" s="1" t="str">
        <f aca="false">IF(LEFT(UPPER(Datos_Crudos!I318),3)="TEC","Tecnología",IF(UPPER(Datos_Crudos!I318)="HOGAR","Hogar","Oficina"))</f>
        <v>Oficina</v>
      </c>
    </row>
    <row r="319" customFormat="false" ht="15" hidden="false" customHeight="true" outlineLevel="0" collapsed="false">
      <c r="H319" s="1" t="str">
        <f aca="false">IF(LEFT(UPPER(Datos_Crudos!I319),3)="TEC","Tecnología",IF(UPPER(Datos_Crudos!I319)="HOGAR","Hogar","Oficina"))</f>
        <v>Tecnología</v>
      </c>
    </row>
    <row r="320" customFormat="false" ht="15" hidden="false" customHeight="true" outlineLevel="0" collapsed="false">
      <c r="H320" s="1" t="str">
        <f aca="false">IF(LEFT(UPPER(Datos_Crudos!I320),3)="TEC","Tecnología",IF(UPPER(Datos_Crudos!I320)="HOGAR","Hogar","Oficina"))</f>
        <v>Oficina</v>
      </c>
    </row>
    <row r="321" customFormat="false" ht="15" hidden="false" customHeight="true" outlineLevel="0" collapsed="false">
      <c r="H321" s="1" t="str">
        <f aca="false">IF(LEFT(UPPER(Datos_Crudos!I321),3)="TEC","Tecnología",IF(UPPER(Datos_Crudos!I321)="HOGAR","Hogar","Oficina"))</f>
        <v>Oficina</v>
      </c>
    </row>
    <row r="322" customFormat="false" ht="15" hidden="false" customHeight="true" outlineLevel="0" collapsed="false">
      <c r="H322" s="1" t="str">
        <f aca="false">IF(LEFT(UPPER(Datos_Crudos!I322),3)="TEC","Tecnología",IF(UPPER(Datos_Crudos!I322)="HOGAR","Hogar","Oficina"))</f>
        <v>Tecnología</v>
      </c>
    </row>
    <row r="323" customFormat="false" ht="15" hidden="false" customHeight="true" outlineLevel="0" collapsed="false">
      <c r="H323" s="1" t="str">
        <f aca="false">IF(LEFT(UPPER(Datos_Crudos!I323),3)="TEC","Tecnología",IF(UPPER(Datos_Crudos!I323)="HOGAR","Hogar","Oficina"))</f>
        <v>Tecnología</v>
      </c>
    </row>
    <row r="324" customFormat="false" ht="15" hidden="false" customHeight="true" outlineLevel="0" collapsed="false">
      <c r="H324" s="1" t="str">
        <f aca="false">IF(LEFT(UPPER(Datos_Crudos!I324),3)="TEC","Tecnología",IF(UPPER(Datos_Crudos!I324)="HOGAR","Hogar","Oficina"))</f>
        <v>Tecnología</v>
      </c>
    </row>
    <row r="325" customFormat="false" ht="15" hidden="false" customHeight="true" outlineLevel="0" collapsed="false">
      <c r="H325" s="1" t="str">
        <f aca="false">IF(LEFT(UPPER(Datos_Crudos!I325),3)="TEC","Tecnología",IF(UPPER(Datos_Crudos!I325)="HOGAR","Hogar","Oficina"))</f>
        <v>Tecnología</v>
      </c>
    </row>
    <row r="326" customFormat="false" ht="15" hidden="false" customHeight="true" outlineLevel="0" collapsed="false">
      <c r="H326" s="1" t="str">
        <f aca="false">IF(LEFT(UPPER(Datos_Crudos!I326),3)="TEC","Tecnología",IF(UPPER(Datos_Crudos!I326)="HOGAR","Hogar","Oficina"))</f>
        <v>Oficina</v>
      </c>
    </row>
    <row r="327" customFormat="false" ht="15" hidden="false" customHeight="true" outlineLevel="0" collapsed="false">
      <c r="H327" s="1" t="str">
        <f aca="false">IF(LEFT(UPPER(Datos_Crudos!I327),3)="TEC","Tecnología",IF(UPPER(Datos_Crudos!I327)="HOGAR","Hogar","Oficina"))</f>
        <v>Oficina</v>
      </c>
    </row>
    <row r="328" customFormat="false" ht="15" hidden="false" customHeight="true" outlineLevel="0" collapsed="false">
      <c r="H328" s="1" t="str">
        <f aca="false">IF(LEFT(UPPER(Datos_Crudos!I328),3)="TEC","Tecnología",IF(UPPER(Datos_Crudos!I328)="HOGAR","Hogar","Oficina"))</f>
        <v>Tecnología</v>
      </c>
    </row>
    <row r="329" customFormat="false" ht="15" hidden="false" customHeight="true" outlineLevel="0" collapsed="false">
      <c r="H329" s="1" t="str">
        <f aca="false">IF(LEFT(UPPER(Datos_Crudos!I329),3)="TEC","Tecnología",IF(UPPER(Datos_Crudos!I329)="HOGAR","Hogar","Oficina"))</f>
        <v>Tecnología</v>
      </c>
    </row>
    <row r="330" customFormat="false" ht="15" hidden="false" customHeight="true" outlineLevel="0" collapsed="false">
      <c r="H330" s="1" t="str">
        <f aca="false">IF(LEFT(UPPER(Datos_Crudos!I330),3)="TEC","Tecnología",IF(UPPER(Datos_Crudos!I330)="HOGAR","Hogar","Oficina"))</f>
        <v>Tecnología</v>
      </c>
    </row>
    <row r="331" customFormat="false" ht="15" hidden="false" customHeight="true" outlineLevel="0" collapsed="false">
      <c r="H331" s="1" t="str">
        <f aca="false">IF(LEFT(UPPER(Datos_Crudos!I331),3)="TEC","Tecnología",IF(UPPER(Datos_Crudos!I331)="HOGAR","Hogar","Oficina"))</f>
        <v>Oficina</v>
      </c>
    </row>
    <row r="332" customFormat="false" ht="15" hidden="false" customHeight="true" outlineLevel="0" collapsed="false">
      <c r="H332" s="1" t="str">
        <f aca="false">IF(LEFT(UPPER(Datos_Crudos!I332),3)="TEC","Tecnología",IF(UPPER(Datos_Crudos!I332)="HOGAR","Hogar","Oficina"))</f>
        <v>Oficina</v>
      </c>
    </row>
    <row r="333" customFormat="false" ht="15" hidden="false" customHeight="true" outlineLevel="0" collapsed="false">
      <c r="H333" s="1" t="str">
        <f aca="false">IF(LEFT(UPPER(Datos_Crudos!I333),3)="TEC","Tecnología",IF(UPPER(Datos_Crudos!I333)="HOGAR","Hogar","Oficina"))</f>
        <v>Oficina</v>
      </c>
    </row>
    <row r="334" customFormat="false" ht="15" hidden="false" customHeight="true" outlineLevel="0" collapsed="false">
      <c r="H334" s="1" t="str">
        <f aca="false">IF(LEFT(UPPER(Datos_Crudos!I334),3)="TEC","Tecnología",IF(UPPER(Datos_Crudos!I334)="HOGAR","Hogar","Oficina"))</f>
        <v>Tecnología</v>
      </c>
    </row>
    <row r="335" customFormat="false" ht="15" hidden="false" customHeight="true" outlineLevel="0" collapsed="false">
      <c r="H335" s="1" t="str">
        <f aca="false">IF(LEFT(UPPER(Datos_Crudos!I335),3)="TEC","Tecnología",IF(UPPER(Datos_Crudos!I335)="HOGAR","Hogar","Oficina"))</f>
        <v>Oficina</v>
      </c>
    </row>
    <row r="336" customFormat="false" ht="15" hidden="false" customHeight="true" outlineLevel="0" collapsed="false">
      <c r="H336" s="1" t="str">
        <f aca="false">IF(LEFT(UPPER(Datos_Crudos!I336),3)="TEC","Tecnología",IF(UPPER(Datos_Crudos!I336)="HOGAR","Hogar","Oficina"))</f>
        <v>Hogar</v>
      </c>
    </row>
    <row r="337" customFormat="false" ht="15" hidden="false" customHeight="true" outlineLevel="0" collapsed="false">
      <c r="H337" s="1" t="str">
        <f aca="false">IF(LEFT(UPPER(Datos_Crudos!I337),3)="TEC","Tecnología",IF(UPPER(Datos_Crudos!I337)="HOGAR","Hogar","Oficina"))</f>
        <v>Hogar</v>
      </c>
    </row>
    <row r="338" customFormat="false" ht="15" hidden="false" customHeight="true" outlineLevel="0" collapsed="false">
      <c r="H338" s="1" t="str">
        <f aca="false">IF(LEFT(UPPER(Datos_Crudos!I338),3)="TEC","Tecnología",IF(UPPER(Datos_Crudos!I338)="HOGAR","Hogar","Oficina"))</f>
        <v>Tecnología</v>
      </c>
    </row>
    <row r="339" customFormat="false" ht="15" hidden="false" customHeight="true" outlineLevel="0" collapsed="false">
      <c r="H339" s="1" t="str">
        <f aca="false">IF(LEFT(UPPER(Datos_Crudos!I339),3)="TEC","Tecnología",IF(UPPER(Datos_Crudos!I339)="HOGAR","Hogar","Oficina"))</f>
        <v>Tecnología</v>
      </c>
    </row>
    <row r="340" customFormat="false" ht="15" hidden="false" customHeight="true" outlineLevel="0" collapsed="false">
      <c r="H340" s="1" t="str">
        <f aca="false">IF(LEFT(UPPER(Datos_Crudos!I340),3)="TEC","Tecnología",IF(UPPER(Datos_Crudos!I340)="HOGAR","Hogar","Oficina"))</f>
        <v>Hogar</v>
      </c>
    </row>
    <row r="341" customFormat="false" ht="15" hidden="false" customHeight="true" outlineLevel="0" collapsed="false">
      <c r="H341" s="1" t="str">
        <f aca="false">IF(LEFT(UPPER(Datos_Crudos!I341),3)="TEC","Tecnología",IF(UPPER(Datos_Crudos!I341)="HOGAR","Hogar","Oficina"))</f>
        <v>Tecnología</v>
      </c>
    </row>
    <row r="342" customFormat="false" ht="15" hidden="false" customHeight="true" outlineLevel="0" collapsed="false">
      <c r="H342" s="1" t="str">
        <f aca="false">IF(LEFT(UPPER(Datos_Crudos!I342),3)="TEC","Tecnología",IF(UPPER(Datos_Crudos!I342)="HOGAR","Hogar","Oficina"))</f>
        <v>Oficina</v>
      </c>
    </row>
    <row r="343" customFormat="false" ht="15" hidden="false" customHeight="true" outlineLevel="0" collapsed="false">
      <c r="H343" s="1" t="str">
        <f aca="false">IF(LEFT(UPPER(Datos_Crudos!I343),3)="TEC","Tecnología",IF(UPPER(Datos_Crudos!I343)="HOGAR","Hogar","Oficina"))</f>
        <v>Tecnología</v>
      </c>
    </row>
    <row r="344" customFormat="false" ht="15" hidden="false" customHeight="true" outlineLevel="0" collapsed="false">
      <c r="H344" s="1" t="str">
        <f aca="false">IF(LEFT(UPPER(Datos_Crudos!I344),3)="TEC","Tecnología",IF(UPPER(Datos_Crudos!I344)="HOGAR","Hogar","Oficina"))</f>
        <v>Tecnología</v>
      </c>
    </row>
    <row r="345" customFormat="false" ht="15" hidden="false" customHeight="true" outlineLevel="0" collapsed="false">
      <c r="H345" s="1" t="str">
        <f aca="false">IF(LEFT(UPPER(Datos_Crudos!I345),3)="TEC","Tecnología",IF(UPPER(Datos_Crudos!I345)="HOGAR","Hogar","Oficina"))</f>
        <v>Oficina</v>
      </c>
    </row>
    <row r="346" customFormat="false" ht="15" hidden="false" customHeight="true" outlineLevel="0" collapsed="false">
      <c r="H346" s="1" t="str">
        <f aca="false">IF(LEFT(UPPER(Datos_Crudos!I346),3)="TEC","Tecnología",IF(UPPER(Datos_Crudos!I346)="HOGAR","Hogar","Oficina"))</f>
        <v>Tecnología</v>
      </c>
    </row>
    <row r="347" customFormat="false" ht="15" hidden="false" customHeight="true" outlineLevel="0" collapsed="false">
      <c r="H347" s="1" t="str">
        <f aca="false">IF(LEFT(UPPER(Datos_Crudos!I347),3)="TEC","Tecnología",IF(UPPER(Datos_Crudos!I347)="HOGAR","Hogar","Oficina"))</f>
        <v>Oficina</v>
      </c>
    </row>
    <row r="348" customFormat="false" ht="15" hidden="false" customHeight="true" outlineLevel="0" collapsed="false">
      <c r="H348" s="1" t="str">
        <f aca="false">IF(LEFT(UPPER(Datos_Crudos!I348),3)="TEC","Tecnología",IF(UPPER(Datos_Crudos!I348)="HOGAR","Hogar","Oficina"))</f>
        <v>Tecnología</v>
      </c>
    </row>
    <row r="349" customFormat="false" ht="15" hidden="false" customHeight="true" outlineLevel="0" collapsed="false">
      <c r="H349" s="1" t="str">
        <f aca="false">IF(LEFT(UPPER(Datos_Crudos!I349),3)="TEC","Tecnología",IF(UPPER(Datos_Crudos!I349)="HOGAR","Hogar","Oficina"))</f>
        <v>Tecnología</v>
      </c>
    </row>
    <row r="350" customFormat="false" ht="15" hidden="false" customHeight="true" outlineLevel="0" collapsed="false">
      <c r="H350" s="1" t="str">
        <f aca="false">IF(LEFT(UPPER(Datos_Crudos!I350),3)="TEC","Tecnología",IF(UPPER(Datos_Crudos!I350)="HOGAR","Hogar","Oficina"))</f>
        <v>Hogar</v>
      </c>
    </row>
    <row r="351" customFormat="false" ht="15" hidden="false" customHeight="true" outlineLevel="0" collapsed="false">
      <c r="H351" s="1" t="str">
        <f aca="false">IF(LEFT(UPPER(Datos_Crudos!I351),3)="TEC","Tecnología",IF(UPPER(Datos_Crudos!I351)="HOGAR","Hogar","Oficina"))</f>
        <v>Tecnología</v>
      </c>
    </row>
    <row r="352" customFormat="false" ht="15" hidden="false" customHeight="true" outlineLevel="0" collapsed="false">
      <c r="H352" s="1" t="str">
        <f aca="false">IF(LEFT(UPPER(Datos_Crudos!I352),3)="TEC","Tecnología",IF(UPPER(Datos_Crudos!I352)="HOGAR","Hogar","Oficina"))</f>
        <v>Oficina</v>
      </c>
    </row>
    <row r="353" customFormat="false" ht="15" hidden="false" customHeight="true" outlineLevel="0" collapsed="false">
      <c r="H353" s="1" t="str">
        <f aca="false">IF(LEFT(UPPER(Datos_Crudos!I353),3)="TEC","Tecnología",IF(UPPER(Datos_Crudos!I353)="HOGAR","Hogar","Oficina"))</f>
        <v>Oficina</v>
      </c>
    </row>
    <row r="354" customFormat="false" ht="15" hidden="false" customHeight="true" outlineLevel="0" collapsed="false">
      <c r="H354" s="1" t="str">
        <f aca="false">IF(LEFT(UPPER(Datos_Crudos!I354),3)="TEC","Tecnología",IF(UPPER(Datos_Crudos!I354)="HOGAR","Hogar","Oficina"))</f>
        <v>Hogar</v>
      </c>
    </row>
    <row r="355" customFormat="false" ht="15" hidden="false" customHeight="true" outlineLevel="0" collapsed="false">
      <c r="H355" s="1" t="str">
        <f aca="false">IF(LEFT(UPPER(Datos_Crudos!I355),3)="TEC","Tecnología",IF(UPPER(Datos_Crudos!I355)="HOGAR","Hogar","Oficina"))</f>
        <v>Hogar</v>
      </c>
    </row>
    <row r="356" customFormat="false" ht="15" hidden="false" customHeight="true" outlineLevel="0" collapsed="false">
      <c r="H356" s="1" t="str">
        <f aca="false">IF(LEFT(UPPER(Datos_Crudos!I356),3)="TEC","Tecnología",IF(UPPER(Datos_Crudos!I356)="HOGAR","Hogar","Oficina"))</f>
        <v>Hogar</v>
      </c>
    </row>
    <row r="357" customFormat="false" ht="15" hidden="false" customHeight="true" outlineLevel="0" collapsed="false">
      <c r="H357" s="1" t="str">
        <f aca="false">IF(LEFT(UPPER(Datos_Crudos!I357),3)="TEC","Tecnología",IF(UPPER(Datos_Crudos!I357)="HOGAR","Hogar","Oficina"))</f>
        <v>Tecnología</v>
      </c>
    </row>
    <row r="358" customFormat="false" ht="15" hidden="false" customHeight="true" outlineLevel="0" collapsed="false">
      <c r="H358" s="1" t="str">
        <f aca="false">IF(LEFT(UPPER(Datos_Crudos!I358),3)="TEC","Tecnología",IF(UPPER(Datos_Crudos!I358)="HOGAR","Hogar","Oficina"))</f>
        <v>Hogar</v>
      </c>
    </row>
    <row r="359" customFormat="false" ht="15" hidden="false" customHeight="true" outlineLevel="0" collapsed="false">
      <c r="H359" s="1" t="str">
        <f aca="false">IF(LEFT(UPPER(Datos_Crudos!I359),3)="TEC","Tecnología",IF(UPPER(Datos_Crudos!I359)="HOGAR","Hogar","Oficina"))</f>
        <v>Tecnología</v>
      </c>
    </row>
    <row r="360" customFormat="false" ht="15" hidden="false" customHeight="true" outlineLevel="0" collapsed="false">
      <c r="H360" s="1" t="str">
        <f aca="false">IF(LEFT(UPPER(Datos_Crudos!I360),3)="TEC","Tecnología",IF(UPPER(Datos_Crudos!I360)="HOGAR","Hogar","Oficina"))</f>
        <v>Oficina</v>
      </c>
    </row>
    <row r="361" customFormat="false" ht="15" hidden="false" customHeight="true" outlineLevel="0" collapsed="false">
      <c r="H361" s="1" t="str">
        <f aca="false">IF(LEFT(UPPER(Datos_Crudos!I361),3)="TEC","Tecnología",IF(UPPER(Datos_Crudos!I361)="HOGAR","Hogar","Oficina"))</f>
        <v>Tecnología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2026-09-15T15:16:59Z</dcterms:created>
  <dc:creator>openpyxl</dc:creator>
  <dc:description/>
  <dc:language>en-US</dc:language>
  <cp:lastModifiedBy/>
  <dcterms:modified xsi:type="dcterms:W3CDTF">2026-09-15T15:17:52Z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